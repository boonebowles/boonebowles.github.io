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ompany Data" sheetId="1" state="visible" r:id="rId1"/>
    <sheet name="YoY Changes" sheetId="2" state="visible" r:id="rId2"/>
    <sheet name="Ratios" sheetId="3" state="visible" r:id="rId3"/>
    <sheet name="DuPont" sheetId="4" state="visible" r:id="rId4"/>
    <sheet name="Notes" sheetId="5" state="visible" r:id="rId5"/>
  </sheets>
  <definedNames>
    <definedName name="_xlnm.Print_Titles" localSheetId="0">'Company Data'!$1:$4</definedName>
    <definedName name="_xlnm.Print_Area" localSheetId="0">'Company Data'!$A$1:$M$32</definedName>
    <definedName name="_xlnm.Print_Titles" localSheetId="1">'YoY Changes'!$1:$4</definedName>
    <definedName name="_xlnm.Print_Area" localSheetId="1">'YoY Changes'!$A$1:$M$34</definedName>
    <definedName name="_xlnm.Print_Titles" localSheetId="2">'Ratios'!$1:$4</definedName>
    <definedName name="_xlnm.Print_Area" localSheetId="2">'Ratios'!$A$1:$M$67</definedName>
    <definedName name="_xlnm.Print_Titles" localSheetId="3">'DuPont'!$1:$4</definedName>
    <definedName name="_xlnm.Print_Area" localSheetId="3">'DuPont'!$A$1:$M$38</definedName>
    <definedName name="_xlnm.Print_Titles" localSheetId="4">'Notes'!$1:$1</definedName>
    <definedName name="_xlnm.Print_Area" localSheetId="4">'Notes'!$A$1:$C$61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/d/yyyy"/>
    <numFmt numFmtId="165" formatCode="#,##0.0;(#,##0.0);0.0"/>
    <numFmt numFmtId="166" formatCode="0.00;(0.00);0.00"/>
    <numFmt numFmtId="167" formatCode="#,##0.000;(#,##0.000);0.000"/>
    <numFmt numFmtId="168" formatCode="0.0%;(0.0%);0.0%"/>
    <numFmt numFmtId="169" formatCode="0.00&quot;x&quot;;(0.00&quot;x&quot;);0.00&quot;x&quot;"/>
    <numFmt numFmtId="170" formatCode="yyyy-mm-dd h:mm:ss"/>
  </numFmts>
  <fonts count="9">
    <font>
      <name val="Calibri"/>
      <family val="2"/>
      <color theme="1"/>
      <sz val="11"/>
      <scheme val="minor"/>
    </font>
    <font>
      <name val="Times New Roman"/>
      <color rgb="00000000"/>
      <sz val="13"/>
    </font>
    <font>
      <name val="Times New Roman"/>
      <b val="1"/>
      <color rgb="00000000"/>
      <sz val="16"/>
    </font>
    <font>
      <name val="Times New Roman"/>
      <b val="1"/>
      <color rgb="00000000"/>
      <sz val="12"/>
    </font>
    <font>
      <name val="Times New Roman"/>
      <color rgb="00000000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0000"/>
      <sz val="11"/>
      <u val="single"/>
    </font>
    <font>
      <name val="Times New Roman"/>
      <b val="1"/>
      <color rgb="00000000"/>
      <sz val="13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8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64" fontId="3" fillId="0" borderId="1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center"/>
    </xf>
    <xf numFmtId="168" fontId="1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8" fontId="8" fillId="0" borderId="2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finance.yahoo.com/quote/WMT/financials/" TargetMode="External" Id="rId1" /><Relationship Type="http://schemas.openxmlformats.org/officeDocument/2006/relationships/hyperlink" Target="https://finance.yahoo.com/quote/WMT/balance-sheet/" TargetMode="External" Id="rId2" /><Relationship Type="http://schemas.openxmlformats.org/officeDocument/2006/relationships/hyperlink" Target="https://finance.yahoo.com/quote/TGT/financials/" TargetMode="External" Id="rId3" /><Relationship Type="http://schemas.openxmlformats.org/officeDocument/2006/relationships/hyperlink" Target="https://finance.yahoo.com/quote/TGT/balance-sheet/" TargetMode="External" Id="rId4" /><Relationship Type="http://schemas.openxmlformats.org/officeDocument/2006/relationships/hyperlink" Target="https://finance.yahoo.com/quote/COST/financials/" TargetMode="External" Id="rId5" /><Relationship Type="http://schemas.openxmlformats.org/officeDocument/2006/relationships/hyperlink" Target="https://finance.yahoo.com/quote/COST/balance-sheet/" TargetMode="External" Id="rId6" /><Relationship Type="http://schemas.openxmlformats.org/officeDocument/2006/relationships/hyperlink" Target="https://finance.yahoo.com/quote/HD/financials/" TargetMode="External" Id="rId7" /><Relationship Type="http://schemas.openxmlformats.org/officeDocument/2006/relationships/hyperlink" Target="https://finance.yahoo.com/quote/HD/balance-sheet/" TargetMode="External" Id="rId8" /><Relationship Type="http://schemas.openxmlformats.org/officeDocument/2006/relationships/hyperlink" Target="https://finance.yahoo.com/quote/LOW/financials/" TargetMode="External" Id="rId9" /><Relationship Type="http://schemas.openxmlformats.org/officeDocument/2006/relationships/hyperlink" Target="https://finance.yahoo.com/quote/LOW/balance-sheet/" TargetMode="External" Id="rId10" /><Relationship Type="http://schemas.openxmlformats.org/officeDocument/2006/relationships/hyperlink" Target="https://finance.yahoo.com/quote/NKE/financials/" TargetMode="External" Id="rId11" /><Relationship Type="http://schemas.openxmlformats.org/officeDocument/2006/relationships/hyperlink" Target="https://finance.yahoo.com/quote/NKE/balance-sheet/" TargetMode="External" Id="rId12" /><Relationship Type="http://schemas.openxmlformats.org/officeDocument/2006/relationships/hyperlink" Target="https://finance.yahoo.com/quote/KO/financials/" TargetMode="External" Id="rId13" /><Relationship Type="http://schemas.openxmlformats.org/officeDocument/2006/relationships/hyperlink" Target="https://finance.yahoo.com/quote/KO/balance-sheet/" TargetMode="External" Id="rId14" /><Relationship Type="http://schemas.openxmlformats.org/officeDocument/2006/relationships/hyperlink" Target="https://finance.yahoo.com/quote/PEP/financials/" TargetMode="External" Id="rId15" /><Relationship Type="http://schemas.openxmlformats.org/officeDocument/2006/relationships/hyperlink" Target="https://finance.yahoo.com/quote/PEP/balance-sheet/" TargetMode="External" Id="rId16" /><Relationship Type="http://schemas.openxmlformats.org/officeDocument/2006/relationships/hyperlink" Target="https://finance.yahoo.com/quote/PG/financials/" TargetMode="External" Id="rId17" /><Relationship Type="http://schemas.openxmlformats.org/officeDocument/2006/relationships/hyperlink" Target="https://finance.yahoo.com/quote/PG/balance-sheet/" TargetMode="External" Id="rId18" /><Relationship Type="http://schemas.openxmlformats.org/officeDocument/2006/relationships/hyperlink" Target="https://finance.yahoo.com/quote/SBUX/financials/" TargetMode="External" Id="rId19" /><Relationship Type="http://schemas.openxmlformats.org/officeDocument/2006/relationships/hyperlink" Target="https://finance.yahoo.com/quote/SBUX/balance-sheet/" TargetMode="External" Id="rId20" /><Relationship Type="http://schemas.openxmlformats.org/officeDocument/2006/relationships/hyperlink" Target="https://finance.yahoo.com/quote/YUM/financials/" TargetMode="External" Id="rId21" /><Relationship Type="http://schemas.openxmlformats.org/officeDocument/2006/relationships/hyperlink" Target="https://finance.yahoo.com/quote/YUM/balance-sheet/" TargetMode="External" Id="rId22" /><Relationship Type="http://schemas.openxmlformats.org/officeDocument/2006/relationships/hyperlink" Target="https://finance.yahoo.com/quote/DAL/financials/" TargetMode="External" Id="rId23" /><Relationship Type="http://schemas.openxmlformats.org/officeDocument/2006/relationships/hyperlink" Target="https://finance.yahoo.com/quote/DAL/balance-sheet/" TargetMode="External" Id="rId24" /><Relationship Type="http://schemas.openxmlformats.org/officeDocument/2006/relationships/hyperlink" Target="https://www.sec.gov/Archives/edgar/data/320187/000032018726000088/nke-20260531.htm" TargetMode="External" Id="rId25" /><Relationship Type="http://schemas.openxmlformats.org/officeDocument/2006/relationships/hyperlink" Target="https://www.sec.gov/Archives/edgar/data/1041061/000104106126000084/yum-20251231.htm" TargetMode="External" Id="rId26" /><Relationship Type="http://schemas.openxmlformats.org/officeDocument/2006/relationships/hyperlink" Target="https://www.sec.gov/Archives/edgar/data/1041061/000104106125000013/yum-20241231.htm" TargetMode="External" Id="rId27" /><Relationship Type="http://schemas.openxmlformats.org/officeDocument/2006/relationships/hyperlink" Target="https://www.sec.gov/Archives/edgar/data/60667/000006066724000033/low-20240202.htm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</cols>
  <sheetData>
    <row r="1" ht="28" customHeight="1">
      <c r="A1" s="1" t="inlineStr">
        <is>
          <t>Module 2 — 12-company data</t>
        </is>
      </c>
    </row>
    <row r="2" ht="8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6" customHeight="1">
      <c r="A3" s="2" t="inlineStr">
        <is>
          <t>Company</t>
        </is>
      </c>
      <c r="B3" s="4" t="inlineStr">
        <is>
          <t>Walmart</t>
        </is>
      </c>
      <c r="C3" s="4" t="inlineStr">
        <is>
          <t>Target</t>
        </is>
      </c>
      <c r="D3" s="4" t="inlineStr">
        <is>
          <t>Costco</t>
        </is>
      </c>
      <c r="E3" s="4" t="inlineStr">
        <is>
          <t>Home Depot</t>
        </is>
      </c>
      <c r="F3" s="4" t="inlineStr">
        <is>
          <t>Lowe’s</t>
        </is>
      </c>
      <c r="G3" s="4" t="inlineStr">
        <is>
          <t>Nike</t>
        </is>
      </c>
      <c r="H3" s="4" t="inlineStr">
        <is>
          <t>Coca-Cola</t>
        </is>
      </c>
      <c r="I3" s="4" t="inlineStr">
        <is>
          <t>PepsiCo</t>
        </is>
      </c>
      <c r="J3" s="4" t="inlineStr">
        <is>
          <t>Procter &amp;
Gamble</t>
        </is>
      </c>
      <c r="K3" s="4" t="inlineStr">
        <is>
          <t>Starbucks</t>
        </is>
      </c>
      <c r="L3" s="4" t="inlineStr">
        <is>
          <t>YUM! Brands</t>
        </is>
      </c>
      <c r="M3" s="4" t="inlineStr">
        <is>
          <t>Delta Air
Lines</t>
        </is>
      </c>
    </row>
    <row r="4" ht="20" customHeight="1">
      <c r="A4" s="5" t="inlineStr">
        <is>
          <t>Ticker</t>
        </is>
      </c>
      <c r="B4" s="6" t="inlineStr">
        <is>
          <t>WMT</t>
        </is>
      </c>
      <c r="C4" s="6" t="inlineStr">
        <is>
          <t>TGT</t>
        </is>
      </c>
      <c r="D4" s="6" t="inlineStr">
        <is>
          <t>COST</t>
        </is>
      </c>
      <c r="E4" s="6" t="inlineStr">
        <is>
          <t>HD</t>
        </is>
      </c>
      <c r="F4" s="6" t="inlineStr">
        <is>
          <t>LOW</t>
        </is>
      </c>
      <c r="G4" s="6" t="inlineStr">
        <is>
          <t>NKE</t>
        </is>
      </c>
      <c r="H4" s="6" t="inlineStr">
        <is>
          <t>KO</t>
        </is>
      </c>
      <c r="I4" s="6" t="inlineStr">
        <is>
          <t>PEP</t>
        </is>
      </c>
      <c r="J4" s="6" t="inlineStr">
        <is>
          <t>PG</t>
        </is>
      </c>
      <c r="K4" s="6" t="inlineStr">
        <is>
          <t>SBUX</t>
        </is>
      </c>
      <c r="L4" s="6" t="inlineStr">
        <is>
          <t>YUM</t>
        </is>
      </c>
      <c r="M4" s="6" t="inlineStr">
        <is>
          <t>DAL</t>
        </is>
      </c>
    </row>
    <row r="5" ht="24" customHeight="1">
      <c r="A5" s="7" t="inlineStr">
        <is>
          <t>Current annual period</t>
        </is>
      </c>
      <c r="B5" s="17" t="n">
        <v>46053</v>
      </c>
      <c r="C5" s="17" t="n">
        <v>46053</v>
      </c>
      <c r="D5" s="17" t="n">
        <v>45900</v>
      </c>
      <c r="E5" s="17" t="n">
        <v>46053</v>
      </c>
      <c r="F5" s="17" t="n">
        <v>46053</v>
      </c>
      <c r="G5" s="17" t="n">
        <v>46173</v>
      </c>
      <c r="H5" s="17" t="n">
        <v>46022</v>
      </c>
      <c r="I5" s="17" t="n">
        <v>46022</v>
      </c>
      <c r="J5" s="17" t="n">
        <v>46203</v>
      </c>
      <c r="K5" s="17" t="n">
        <v>45930</v>
      </c>
      <c r="L5" s="17" t="n">
        <v>46022</v>
      </c>
      <c r="M5" s="17" t="n">
        <v>46022</v>
      </c>
    </row>
    <row r="6" ht="24" customHeight="1">
      <c r="A6" s="2" t="inlineStr">
        <is>
          <t>Revenue ($m)</t>
        </is>
      </c>
      <c r="B6" s="18" t="n">
        <v>713163</v>
      </c>
      <c r="C6" s="18" t="n">
        <v>104780</v>
      </c>
      <c r="D6" s="18" t="n">
        <v>275235</v>
      </c>
      <c r="E6" s="18" t="n">
        <v>164683</v>
      </c>
      <c r="F6" s="18" t="n">
        <v>86286</v>
      </c>
      <c r="G6" s="18" t="n">
        <v>46398</v>
      </c>
      <c r="H6" s="18" t="n">
        <v>47941</v>
      </c>
      <c r="I6" s="18" t="n">
        <v>93925</v>
      </c>
      <c r="J6" s="18" t="n">
        <v>87032</v>
      </c>
      <c r="K6" s="18" t="n">
        <v>37184.4</v>
      </c>
      <c r="L6" s="18" t="n">
        <v>8214</v>
      </c>
      <c r="M6" s="18" t="n">
        <v>63364</v>
      </c>
    </row>
    <row r="7" ht="24" customHeight="1">
      <c r="A7" s="2" t="inlineStr">
        <is>
          <t>Net income ($m)</t>
        </is>
      </c>
      <c r="B7" s="18" t="n">
        <v>21893</v>
      </c>
      <c r="C7" s="18" t="n">
        <v>3705</v>
      </c>
      <c r="D7" s="18" t="n">
        <v>8099</v>
      </c>
      <c r="E7" s="18" t="n">
        <v>14156</v>
      </c>
      <c r="F7" s="18" t="n">
        <v>6654</v>
      </c>
      <c r="G7" s="18" t="n">
        <v>3108</v>
      </c>
      <c r="H7" s="18" t="n">
        <v>13107</v>
      </c>
      <c r="I7" s="18" t="n">
        <v>8240</v>
      </c>
      <c r="J7" s="18" t="n">
        <v>16046</v>
      </c>
      <c r="K7" s="18" t="n">
        <v>1856.4</v>
      </c>
      <c r="L7" s="18" t="n">
        <v>1559</v>
      </c>
      <c r="M7" s="18" t="n">
        <v>5005</v>
      </c>
    </row>
    <row r="8" ht="24" customHeight="1">
      <c r="A8" s="2" t="inlineStr">
        <is>
          <t>Basic EPS ($/share)</t>
        </is>
      </c>
      <c r="B8" s="19" t="n">
        <v>2.74</v>
      </c>
      <c r="C8" s="19" t="n">
        <v>8.16</v>
      </c>
      <c r="D8" s="19" t="n">
        <v>18.24</v>
      </c>
      <c r="E8" s="19" t="n">
        <v>14.26</v>
      </c>
      <c r="F8" s="19" t="n">
        <v>11.87</v>
      </c>
      <c r="G8" s="19" t="n">
        <v>2.1</v>
      </c>
      <c r="H8" s="19" t="n">
        <v>3.05</v>
      </c>
      <c r="I8" s="19" t="n">
        <v>6.026299</v>
      </c>
      <c r="J8" s="19" t="n">
        <v>6.75</v>
      </c>
      <c r="K8" s="19" t="n">
        <v>1.632861</v>
      </c>
      <c r="L8" s="19" t="n">
        <v>5.59</v>
      </c>
      <c r="M8" s="19" t="n">
        <v>7.720031</v>
      </c>
    </row>
    <row r="9" ht="24" customHeight="1">
      <c r="A9" s="2" t="inlineStr">
        <is>
          <t>Shares outstanding (m)</t>
        </is>
      </c>
      <c r="B9" s="20" t="n">
        <v>7969</v>
      </c>
      <c r="C9" s="20" t="n">
        <v>452.840187</v>
      </c>
      <c r="D9" s="20" t="n">
        <v>443.237</v>
      </c>
      <c r="E9" s="20" t="n">
        <v>995.511485</v>
      </c>
      <c r="F9" s="20" t="n">
        <v>560.951457</v>
      </c>
      <c r="G9" s="20" t="n">
        <v>1483.498703</v>
      </c>
      <c r="H9" s="20" t="n">
        <v>4301.608845</v>
      </c>
      <c r="I9" s="20" t="n">
        <v>1367.340122</v>
      </c>
      <c r="J9" s="20" t="n">
        <v>2323.859</v>
      </c>
      <c r="K9" s="20" t="n">
        <v>1136.9</v>
      </c>
      <c r="L9" s="20" t="n">
        <v>276.569492</v>
      </c>
      <c r="M9" s="20" t="n">
        <v>653.171237</v>
      </c>
    </row>
    <row r="10" ht="24" customHeight="1">
      <c r="A10" s="2" t="inlineStr">
        <is>
          <t>Total assets ($m)</t>
        </is>
      </c>
      <c r="B10" s="18" t="n">
        <v>284668</v>
      </c>
      <c r="C10" s="18" t="n">
        <v>59490</v>
      </c>
      <c r="D10" s="18" t="n">
        <v>77099</v>
      </c>
      <c r="E10" s="18" t="n">
        <v>105095</v>
      </c>
      <c r="F10" s="18" t="n">
        <v>54144</v>
      </c>
      <c r="G10" s="18" t="n">
        <v>38410</v>
      </c>
      <c r="H10" s="18" t="n">
        <v>104816</v>
      </c>
      <c r="I10" s="18" t="n">
        <v>107399</v>
      </c>
      <c r="J10" s="18" t="n">
        <v>126521</v>
      </c>
      <c r="K10" s="18" t="n">
        <v>32019.7</v>
      </c>
      <c r="L10" s="18" t="n">
        <v>8197</v>
      </c>
      <c r="M10" s="18" t="n">
        <v>81317</v>
      </c>
    </row>
    <row r="11" ht="24" customHeight="1">
      <c r="A11" s="2" t="inlineStr">
        <is>
          <t>EBIT ($m)</t>
        </is>
      </c>
      <c r="B11" s="18" t="n">
        <v>32268</v>
      </c>
      <c r="C11" s="18" t="n">
        <v>5212</v>
      </c>
      <c r="D11" s="18" t="n">
        <v>10972</v>
      </c>
      <c r="E11" s="18" t="n">
        <v>21014</v>
      </c>
      <c r="F11" s="18" t="n">
        <v>10274</v>
      </c>
      <c r="G11" s="18" t="n">
        <v>3797</v>
      </c>
      <c r="H11" s="18" t="n">
        <v>17652</v>
      </c>
      <c r="I11" s="18" t="n">
        <v>11365</v>
      </c>
      <c r="J11" s="18" t="n">
        <v>21254</v>
      </c>
      <c r="K11" s="18" t="n">
        <v>3049.9</v>
      </c>
      <c r="L11" s="18" t="n">
        <v>2578</v>
      </c>
      <c r="M11" s="18" t="n">
        <v>6864</v>
      </c>
    </row>
    <row r="12" ht="24" customHeight="1">
      <c r="A12" s="2" t="inlineStr">
        <is>
          <t>Net PP&amp;E ($m)</t>
        </is>
      </c>
      <c r="B12" s="18" t="n">
        <v>156956</v>
      </c>
      <c r="C12" s="18" t="n">
        <v>37452</v>
      </c>
      <c r="D12" s="18" t="n">
        <v>34634</v>
      </c>
      <c r="E12" s="18" t="n">
        <v>37225</v>
      </c>
      <c r="F12" s="18" t="n">
        <v>22665</v>
      </c>
      <c r="G12" s="18" t="n">
        <v>7634</v>
      </c>
      <c r="H12" s="18" t="n">
        <v>9613</v>
      </c>
      <c r="I12" s="18" t="n">
        <v>33650</v>
      </c>
      <c r="J12" s="18" t="n">
        <v>25360</v>
      </c>
      <c r="K12" s="18" t="n">
        <v>17809.2</v>
      </c>
      <c r="L12" s="18" t="n">
        <v>2818</v>
      </c>
      <c r="M12" s="18" t="n">
        <v>45987</v>
      </c>
    </row>
    <row r="13" ht="24" customHeight="1">
      <c r="A13" s="2" t="inlineStr">
        <is>
          <t>Current assets ($m)</t>
        </is>
      </c>
      <c r="B13" s="18" t="n">
        <v>84874</v>
      </c>
      <c r="C13" s="18" t="n">
        <v>20005</v>
      </c>
      <c r="D13" s="18" t="n">
        <v>38380</v>
      </c>
      <c r="E13" s="18" t="n">
        <v>34391</v>
      </c>
      <c r="F13" s="18" t="n">
        <v>20955</v>
      </c>
      <c r="G13" s="18" t="n">
        <v>24603</v>
      </c>
      <c r="H13" s="18" t="n">
        <v>31044</v>
      </c>
      <c r="I13" s="18" t="n">
        <v>27949</v>
      </c>
      <c r="J13" s="18" t="n">
        <v>26208</v>
      </c>
      <c r="K13" s="18" t="n">
        <v>7382.3</v>
      </c>
      <c r="L13" s="18" t="n">
        <v>2040</v>
      </c>
      <c r="M13" s="18" t="n">
        <v>10968</v>
      </c>
    </row>
    <row r="14" ht="24" customHeight="1">
      <c r="A14" s="2" t="inlineStr">
        <is>
          <t>Current liabilities ($m)</t>
        </is>
      </c>
      <c r="B14" s="18" t="n">
        <v>107469</v>
      </c>
      <c r="C14" s="18" t="n">
        <v>21230</v>
      </c>
      <c r="D14" s="18" t="n">
        <v>37108</v>
      </c>
      <c r="E14" s="18" t="n">
        <v>32424</v>
      </c>
      <c r="F14" s="18" t="n">
        <v>19463</v>
      </c>
      <c r="G14" s="18" t="n">
        <v>12547</v>
      </c>
      <c r="H14" s="18" t="n">
        <v>21281</v>
      </c>
      <c r="I14" s="18" t="n">
        <v>32764</v>
      </c>
      <c r="J14" s="18" t="n">
        <v>38694</v>
      </c>
      <c r="K14" s="18" t="n">
        <v>10210.4</v>
      </c>
      <c r="L14" s="18" t="n">
        <v>1516</v>
      </c>
      <c r="M14" s="18" t="n">
        <v>27624</v>
      </c>
    </row>
    <row r="15" ht="24" customHeight="1">
      <c r="A15" s="2" t="inlineStr">
        <is>
          <t>Stockholders’ equity ($m)</t>
        </is>
      </c>
      <c r="B15" s="18" t="n">
        <v>99617</v>
      </c>
      <c r="C15" s="18" t="n">
        <v>16165</v>
      </c>
      <c r="D15" s="18" t="n">
        <v>29164</v>
      </c>
      <c r="E15" s="18" t="n">
        <v>12813</v>
      </c>
      <c r="F15" s="18" t="n">
        <v>-9917</v>
      </c>
      <c r="G15" s="18" t="n">
        <v>14865</v>
      </c>
      <c r="H15" s="18" t="n">
        <v>32169</v>
      </c>
      <c r="I15" s="18" t="n">
        <v>20406</v>
      </c>
      <c r="J15" s="18" t="n">
        <v>54081</v>
      </c>
      <c r="K15" s="18" t="n">
        <v>-8096.6</v>
      </c>
      <c r="L15" s="18" t="n">
        <v>-7325</v>
      </c>
      <c r="M15" s="18" t="n">
        <v>20853</v>
      </c>
    </row>
    <row r="16" ht="24" customHeight="1">
      <c r="A16" s="2" t="inlineStr">
        <is>
          <t>Pretax income ($m)</t>
        </is>
      </c>
      <c r="B16" s="18" t="n">
        <v>29469</v>
      </c>
      <c r="C16" s="18" t="n">
        <v>4767</v>
      </c>
      <c r="D16" s="18" t="n">
        <v>10818</v>
      </c>
      <c r="E16" s="18" t="n">
        <v>18602</v>
      </c>
      <c r="F16" s="18" t="n">
        <v>8747</v>
      </c>
      <c r="G16" s="18" t="n">
        <v>3900</v>
      </c>
      <c r="H16" s="18" t="n">
        <v>15998</v>
      </c>
      <c r="I16" s="18" t="n">
        <v>10244</v>
      </c>
      <c r="J16" s="18" t="n">
        <v>20377</v>
      </c>
      <c r="K16" s="18" t="n">
        <v>2507.3</v>
      </c>
      <c r="L16" s="18" t="n">
        <v>2077</v>
      </c>
      <c r="M16" s="18" t="n">
        <v>6185</v>
      </c>
    </row>
    <row r="17" ht="24" customHeight="1">
      <c r="A17" s="2" t="inlineStr">
        <is>
          <t>Tax provision ($m)</t>
        </is>
      </c>
      <c r="B17" s="18" t="n">
        <v>7199</v>
      </c>
      <c r="C17" s="18" t="n">
        <v>1062</v>
      </c>
      <c r="D17" s="18" t="n">
        <v>2719</v>
      </c>
      <c r="E17" s="18" t="n">
        <v>4446</v>
      </c>
      <c r="F17" s="18" t="n">
        <v>2093</v>
      </c>
      <c r="G17" s="18" t="n">
        <v>792</v>
      </c>
      <c r="H17" s="18" t="n">
        <v>2861</v>
      </c>
      <c r="I17" s="18" t="n">
        <v>1949</v>
      </c>
      <c r="J17" s="18" t="n">
        <v>4233</v>
      </c>
      <c r="K17" s="18" t="n">
        <v>650.6</v>
      </c>
      <c r="L17" s="18" t="n">
        <v>518</v>
      </c>
      <c r="M17" s="18" t="n">
        <v>1180</v>
      </c>
    </row>
    <row r="18" ht="10" customHeight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10" customHeight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4" customHeight="1">
      <c r="A20" s="7" t="inlineStr">
        <is>
          <t>Prior annual period</t>
        </is>
      </c>
      <c r="B20" s="17" t="n">
        <v>45688</v>
      </c>
      <c r="C20" s="17" t="n">
        <v>45688</v>
      </c>
      <c r="D20" s="17" t="n">
        <v>45535</v>
      </c>
      <c r="E20" s="17" t="n">
        <v>45688</v>
      </c>
      <c r="F20" s="17" t="n">
        <v>45688</v>
      </c>
      <c r="G20" s="17" t="n">
        <v>45808</v>
      </c>
      <c r="H20" s="17" t="n">
        <v>45657</v>
      </c>
      <c r="I20" s="17" t="n">
        <v>45657</v>
      </c>
      <c r="J20" s="17" t="n">
        <v>45838</v>
      </c>
      <c r="K20" s="17" t="n">
        <v>45565</v>
      </c>
      <c r="L20" s="17" t="n">
        <v>45657</v>
      </c>
      <c r="M20" s="17" t="n">
        <v>45657</v>
      </c>
    </row>
    <row r="21" ht="24" customHeight="1">
      <c r="A21" s="2" t="inlineStr">
        <is>
          <t>Revenue ($m)</t>
        </is>
      </c>
      <c r="B21" s="18" t="n">
        <v>680985</v>
      </c>
      <c r="C21" s="18" t="n">
        <v>106566</v>
      </c>
      <c r="D21" s="18" t="n">
        <v>254453</v>
      </c>
      <c r="E21" s="18" t="n">
        <v>159514</v>
      </c>
      <c r="F21" s="18" t="n">
        <v>83674</v>
      </c>
      <c r="G21" s="18" t="n">
        <v>46309</v>
      </c>
      <c r="H21" s="18" t="n">
        <v>47061</v>
      </c>
      <c r="I21" s="18" t="n">
        <v>91854</v>
      </c>
      <c r="J21" s="18" t="n">
        <v>84284</v>
      </c>
      <c r="K21" s="18" t="n">
        <v>36176.2</v>
      </c>
      <c r="L21" s="18" t="n">
        <v>7549</v>
      </c>
      <c r="M21" s="18" t="n">
        <v>61643</v>
      </c>
    </row>
    <row r="22" ht="24" customHeight="1">
      <c r="A22" s="2" t="inlineStr">
        <is>
          <t>Net income ($m)</t>
        </is>
      </c>
      <c r="B22" s="18" t="n">
        <v>19436</v>
      </c>
      <c r="C22" s="18" t="n">
        <v>4091</v>
      </c>
      <c r="D22" s="18" t="n">
        <v>7367</v>
      </c>
      <c r="E22" s="18" t="n">
        <v>14806</v>
      </c>
      <c r="F22" s="18" t="n">
        <v>6957</v>
      </c>
      <c r="G22" s="18" t="n">
        <v>3219</v>
      </c>
      <c r="H22" s="18" t="n">
        <v>10631</v>
      </c>
      <c r="I22" s="18" t="n">
        <v>9578</v>
      </c>
      <c r="J22" s="18" t="n">
        <v>15974</v>
      </c>
      <c r="K22" s="18" t="n">
        <v>3760.9</v>
      </c>
      <c r="L22" s="18" t="n">
        <v>1486</v>
      </c>
      <c r="M22" s="18" t="n">
        <v>3457</v>
      </c>
    </row>
    <row r="23" ht="24" customHeight="1">
      <c r="A23" s="2" t="inlineStr">
        <is>
          <t>Basic EPS ($/share)</t>
        </is>
      </c>
      <c r="B23" s="19" t="n">
        <v>2.42</v>
      </c>
      <c r="C23" s="19" t="n">
        <v>8.890000000000001</v>
      </c>
      <c r="D23" s="19" t="n">
        <v>16.59</v>
      </c>
      <c r="E23" s="19" t="n">
        <v>14.96</v>
      </c>
      <c r="F23" s="19" t="n">
        <v>12.25</v>
      </c>
      <c r="G23" s="19" t="n">
        <v>2.17</v>
      </c>
      <c r="H23" s="19" t="n">
        <v>2.47</v>
      </c>
      <c r="I23" s="19" t="n">
        <v>6.981105</v>
      </c>
      <c r="J23" s="19" t="n">
        <v>6.67</v>
      </c>
      <c r="K23" s="19" t="n">
        <v>3.317953</v>
      </c>
      <c r="L23" s="19" t="n">
        <v>5.28</v>
      </c>
      <c r="M23" s="19" t="n">
        <v>5.390022</v>
      </c>
    </row>
    <row r="24" ht="24" customHeight="1">
      <c r="A24" s="2" t="inlineStr">
        <is>
          <t>Shares outstanding (m)</t>
        </is>
      </c>
      <c r="B24" s="20" t="n">
        <v>8024</v>
      </c>
      <c r="C24" s="20" t="n">
        <v>455.566995</v>
      </c>
      <c r="D24" s="20" t="n">
        <v>443.126</v>
      </c>
      <c r="E24" s="20" t="n">
        <v>994</v>
      </c>
      <c r="F24" s="20" t="n">
        <v>560</v>
      </c>
      <c r="G24" s="20" t="n">
        <v>1476</v>
      </c>
      <c r="H24" s="20" t="n">
        <v>4302</v>
      </c>
      <c r="I24" s="20" t="n">
        <v>1371.989025</v>
      </c>
      <c r="J24" s="20" t="n">
        <v>2341.944</v>
      </c>
      <c r="K24" s="20" t="n">
        <v>1133.5</v>
      </c>
      <c r="L24" s="20" t="n">
        <v>279.071854</v>
      </c>
      <c r="M24" s="20" t="n">
        <v>646.472635</v>
      </c>
    </row>
    <row r="25" ht="24" customHeight="1">
      <c r="A25" s="2" t="inlineStr">
        <is>
          <t>Total assets ($m)</t>
        </is>
      </c>
      <c r="B25" s="18" t="n">
        <v>260823</v>
      </c>
      <c r="C25" s="18" t="n">
        <v>57769</v>
      </c>
      <c r="D25" s="18" t="n">
        <v>69831</v>
      </c>
      <c r="E25" s="18" t="n">
        <v>96119</v>
      </c>
      <c r="F25" s="18" t="n">
        <v>43102</v>
      </c>
      <c r="G25" s="18" t="n">
        <v>36579</v>
      </c>
      <c r="H25" s="18" t="n">
        <v>100549</v>
      </c>
      <c r="I25" s="18" t="n">
        <v>99467</v>
      </c>
      <c r="J25" s="18" t="n">
        <v>125231</v>
      </c>
      <c r="K25" s="18" t="n">
        <v>31339.3</v>
      </c>
      <c r="L25" s="18" t="n">
        <v>6727</v>
      </c>
      <c r="M25" s="18" t="n">
        <v>75372</v>
      </c>
    </row>
    <row r="26" ht="24" customHeight="1">
      <c r="A26" s="2" t="inlineStr">
        <is>
          <t>EBIT ($m)</t>
        </is>
      </c>
      <c r="B26" s="18" t="n">
        <v>29037</v>
      </c>
      <c r="C26" s="18" t="n">
        <v>5672</v>
      </c>
      <c r="D26" s="18" t="n">
        <v>9909</v>
      </c>
      <c r="E26" s="18" t="n">
        <v>21727</v>
      </c>
      <c r="F26" s="18" t="n">
        <v>10625</v>
      </c>
      <c r="G26" s="18" t="n">
        <v>3702</v>
      </c>
      <c r="H26" s="18" t="n">
        <v>14742</v>
      </c>
      <c r="I26" s="18" t="n">
        <v>12865</v>
      </c>
      <c r="J26" s="18" t="n">
        <v>21074</v>
      </c>
      <c r="K26" s="18" t="n">
        <v>5531.6</v>
      </c>
      <c r="L26" s="18" t="n">
        <v>2389</v>
      </c>
      <c r="M26" s="18" t="n">
        <v>5405</v>
      </c>
    </row>
    <row r="27" ht="24" customHeight="1">
      <c r="A27" s="2" t="inlineStr">
        <is>
          <t>Net PP&amp;E ($m)</t>
        </is>
      </c>
      <c r="B27" s="18" t="n">
        <v>139704</v>
      </c>
      <c r="C27" s="18" t="n">
        <v>36785</v>
      </c>
      <c r="D27" s="18" t="n">
        <v>31649</v>
      </c>
      <c r="E27" s="18" t="n">
        <v>35294</v>
      </c>
      <c r="F27" s="18" t="n">
        <v>21387</v>
      </c>
      <c r="G27" s="18" t="n">
        <v>7540</v>
      </c>
      <c r="H27" s="18" t="n">
        <v>10303</v>
      </c>
      <c r="I27" s="18" t="n">
        <v>31391</v>
      </c>
      <c r="J27" s="18" t="n">
        <v>23897</v>
      </c>
      <c r="K27" s="18" t="n">
        <v>17951.7</v>
      </c>
      <c r="L27" s="18" t="n">
        <v>2185</v>
      </c>
      <c r="M27" s="18" t="n">
        <v>44239</v>
      </c>
    </row>
    <row r="28" ht="24" customHeight="1">
      <c r="A28" s="2" t="inlineStr">
        <is>
          <t>Current assets ($m)</t>
        </is>
      </c>
      <c r="B28" s="18" t="n">
        <v>79458</v>
      </c>
      <c r="C28" s="18" t="n">
        <v>19454</v>
      </c>
      <c r="D28" s="18" t="n">
        <v>34246</v>
      </c>
      <c r="E28" s="18" t="n">
        <v>31683</v>
      </c>
      <c r="F28" s="18" t="n">
        <v>20358</v>
      </c>
      <c r="G28" s="18" t="n">
        <v>23362</v>
      </c>
      <c r="H28" s="18" t="n">
        <v>25997</v>
      </c>
      <c r="I28" s="18" t="n">
        <v>25826</v>
      </c>
      <c r="J28" s="18" t="n">
        <v>25392</v>
      </c>
      <c r="K28" s="18" t="n">
        <v>6847.4</v>
      </c>
      <c r="L28" s="18" t="n">
        <v>1871</v>
      </c>
      <c r="M28" s="18" t="n">
        <v>9844</v>
      </c>
    </row>
    <row r="29" ht="24" customHeight="1">
      <c r="A29" s="2" t="inlineStr">
        <is>
          <t>Current liabilities ($m)</t>
        </is>
      </c>
      <c r="B29" s="18" t="n">
        <v>96584</v>
      </c>
      <c r="C29" s="18" t="n">
        <v>20799</v>
      </c>
      <c r="D29" s="18" t="n">
        <v>35464</v>
      </c>
      <c r="E29" s="18" t="n">
        <v>28661</v>
      </c>
      <c r="F29" s="18" t="n">
        <v>18757</v>
      </c>
      <c r="G29" s="18" t="n">
        <v>10566</v>
      </c>
      <c r="H29" s="18" t="n">
        <v>25249</v>
      </c>
      <c r="I29" s="18" t="n">
        <v>31536</v>
      </c>
      <c r="J29" s="18" t="n">
        <v>36058</v>
      </c>
      <c r="K29" s="18" t="n">
        <v>9070</v>
      </c>
      <c r="L29" s="18" t="n">
        <v>1269</v>
      </c>
      <c r="M29" s="18" t="n">
        <v>26670</v>
      </c>
    </row>
    <row r="30" ht="24" customHeight="1">
      <c r="A30" s="2" t="inlineStr">
        <is>
          <t>Stockholders’ equity ($m)</t>
        </is>
      </c>
      <c r="B30" s="18" t="n">
        <v>91013</v>
      </c>
      <c r="C30" s="18" t="n">
        <v>14666</v>
      </c>
      <c r="D30" s="18" t="n">
        <v>23622</v>
      </c>
      <c r="E30" s="18" t="n">
        <v>6640</v>
      </c>
      <c r="F30" s="18" t="n">
        <v>-14231</v>
      </c>
      <c r="G30" s="18" t="n">
        <v>13213</v>
      </c>
      <c r="H30" s="18" t="n">
        <v>24856</v>
      </c>
      <c r="I30" s="18" t="n">
        <v>18041</v>
      </c>
      <c r="J30" s="18" t="n">
        <v>52012</v>
      </c>
      <c r="K30" s="18" t="n">
        <v>-7448.9</v>
      </c>
      <c r="L30" s="18" t="n">
        <v>-7648</v>
      </c>
      <c r="M30" s="18" t="n">
        <v>15293</v>
      </c>
    </row>
    <row r="31" ht="24" customHeight="1">
      <c r="A31" s="2" t="inlineStr">
        <is>
          <t>Pretax income ($m)</t>
        </is>
      </c>
      <c r="B31" s="18" t="n">
        <v>26309</v>
      </c>
      <c r="C31" s="18" t="n">
        <v>5261</v>
      </c>
      <c r="D31" s="18" t="n">
        <v>9740</v>
      </c>
      <c r="E31" s="18" t="n">
        <v>19406</v>
      </c>
      <c r="F31" s="18" t="n">
        <v>9153</v>
      </c>
      <c r="G31" s="18" t="n">
        <v>3885</v>
      </c>
      <c r="H31" s="18" t="n">
        <v>13086</v>
      </c>
      <c r="I31" s="18" t="n">
        <v>11946</v>
      </c>
      <c r="J31" s="18" t="n">
        <v>20167</v>
      </c>
      <c r="K31" s="18" t="n">
        <v>4969.6</v>
      </c>
      <c r="L31" s="18" t="n">
        <v>1900</v>
      </c>
      <c r="M31" s="18" t="n">
        <v>4658</v>
      </c>
    </row>
    <row r="32" ht="24" customHeight="1">
      <c r="A32" s="2" t="inlineStr">
        <is>
          <t>Tax provision ($m)</t>
        </is>
      </c>
      <c r="B32" s="18" t="n">
        <v>6152</v>
      </c>
      <c r="C32" s="18" t="n">
        <v>1170</v>
      </c>
      <c r="D32" s="18" t="n">
        <v>2373</v>
      </c>
      <c r="E32" s="18" t="n">
        <v>4600</v>
      </c>
      <c r="F32" s="18" t="n">
        <v>2196</v>
      </c>
      <c r="G32" s="18" t="n">
        <v>666</v>
      </c>
      <c r="H32" s="18" t="n">
        <v>2437</v>
      </c>
      <c r="I32" s="18" t="n">
        <v>2320</v>
      </c>
      <c r="J32" s="18" t="n">
        <v>4102</v>
      </c>
      <c r="K32" s="18" t="n">
        <v>1207.3</v>
      </c>
      <c r="L32" s="18" t="n">
        <v>414</v>
      </c>
      <c r="M32" s="18" t="n">
        <v>1201</v>
      </c>
    </row>
  </sheetData>
  <mergeCells count="1">
    <mergeCell ref="A1:M1"/>
  </mergeCells>
  <pageMargins left="0.25" right="0.25" top="0.3" bottom="0.3" header="0.5" footer="0.5"/>
  <pageSetup orientation="landscape" paperSize="1" fitToHeight="0" fitToWidth="1"/>
  <rowBreaks count="1" manualBreakCount="1">
    <brk id="19" min="0" max="16383" man="1"/>
  </rowBreaks>
</worksheet>
</file>

<file path=xl/worksheets/sheet2.xml><?xml version="1.0" encoding="utf-8"?>
<s:worksheet xmlns:s="http://schemas.openxmlformats.org/spreadsheetml/2006/main">
  <s:sheetPr>
    <s:outlinePr summaryBelow="1" summaryRight="1"/>
    <s:pageSetUpPr fitToPage="1"/>
  </s:sheetPr>
  <s:dimension ref="A1:M34"/>
  <s:sheetViews>
    <s:sheetView showGridLines="0" zoomScale="85" workbookViewId="0">
      <s:pane xSplit="1" ySplit="5" topLeftCell="B6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9" customWidth="1" min="1" max="1"/>
    <s:col width="12.5" customWidth="1" min="2" max="2"/>
    <s:col width="12.5" customWidth="1" min="3" max="3"/>
    <s:col width="12.5" customWidth="1" min="4" max="4"/>
    <s:col width="12.5" customWidth="1" min="5" max="5"/>
    <s:col width="12.5" customWidth="1" min="6" max="6"/>
    <s:col width="12.5" customWidth="1" min="7" max="7"/>
    <s:col width="12.5" customWidth="1" min="8" max="8"/>
    <s:col width="12.5" customWidth="1" min="9" max="9"/>
    <s:col width="12.5" customWidth="1" min="10" max="10"/>
    <s:col width="12.5" customWidth="1" min="11" max="11"/>
    <s:col width="12.5" customWidth="1" min="12" max="12"/>
    <s:col width="12.5" customWidth="1" min="13" max="13"/>
  </s:cols>
  <s:sheetData>
    <s:row r="1" ht="28" customHeight="1">
      <s:c r="A1" s="1" t="inlineStr">
        <s:is>
          <s:t>Module 2 — year-over-year changes</s:t>
        </s:is>
      </s:c>
    </s:row>
    <s:row r="2" ht="8" customHeight="1">
      <s:c r="A2" s="2" t="n"/>
      <s:c r="B2" s="3" t="n"/>
      <s:c r="C2" s="3" t="n"/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</s:row>
    <s:row r="3" ht="36" customHeight="1">
      <s:c r="A3" s="2" t="inlineStr">
        <s:is>
          <s:t>Company</s:t>
        </s:is>
      </s:c>
      <s:c r="B3" s="4" t="inlineStr">
        <s:is>
          <s:t>Walmart</s:t>
        </s:is>
      </s:c>
      <s:c r="C3" s="4" t="inlineStr">
        <s:is>
          <s:t>Target</s:t>
        </s:is>
      </s:c>
      <s:c r="D3" s="4" t="inlineStr">
        <s:is>
          <s:t>Costco</s:t>
        </s:is>
      </s:c>
      <s:c r="E3" s="4" t="inlineStr">
        <s:is>
          <s:t>Home Depot</s:t>
        </s:is>
      </s:c>
      <s:c r="F3" s="4" t="inlineStr">
        <s:is>
          <s:t>Lowe’s</s:t>
        </s:is>
      </s:c>
      <s:c r="G3" s="4" t="inlineStr">
        <s:is>
          <s:t>Nike</s:t>
        </s:is>
      </s:c>
      <s:c r="H3" s="4" t="inlineStr">
        <s:is>
          <s:t>Coca-Cola</s:t>
        </s:is>
      </s:c>
      <s:c r="I3" s="4" t="inlineStr">
        <s:is>
          <s:t>PepsiCo</s:t>
        </s:is>
      </s:c>
      <s:c r="J3" s="4" t="inlineStr">
        <s:is>
          <s:t>Procter &amp;
Gamble</s:t>
        </s:is>
      </s:c>
      <s:c r="K3" s="4" t="inlineStr">
        <s:is>
          <s:t>Starbucks</s:t>
        </s:is>
      </s:c>
      <s:c r="L3" s="4" t="inlineStr">
        <s:is>
          <s:t>YUM! Brands</s:t>
        </s:is>
      </s:c>
      <s:c r="M3" s="4" t="inlineStr">
        <s:is>
          <s:t>Delta Air
Lines</s:t>
        </s:is>
      </s:c>
    </s:row>
    <s:row r="4" ht="20" customHeight="1">
      <s:c r="A4" s="5" t="inlineStr">
        <s:is>
          <s:t>Ticker</s:t>
        </s:is>
      </s:c>
      <s:c r="B4" s="6" t="inlineStr">
        <s:is>
          <s:t>WMT</s:t>
        </s:is>
      </s:c>
      <s:c r="C4" s="6" t="inlineStr">
        <s:is>
          <s:t>TGT</s:t>
        </s:is>
      </s:c>
      <s:c r="D4" s="6" t="inlineStr">
        <s:is>
          <s:t>COST</s:t>
        </s:is>
      </s:c>
      <s:c r="E4" s="6" t="inlineStr">
        <s:is>
          <s:t>HD</s:t>
        </s:is>
      </s:c>
      <s:c r="F4" s="6" t="inlineStr">
        <s:is>
          <s:t>LOW</s:t>
        </s:is>
      </s:c>
      <s:c r="G4" s="6" t="inlineStr">
        <s:is>
          <s:t>NKE</s:t>
        </s:is>
      </s:c>
      <s:c r="H4" s="6" t="inlineStr">
        <s:is>
          <s:t>KO</s:t>
        </s:is>
      </s:c>
      <s:c r="I4" s="6" t="inlineStr">
        <s:is>
          <s:t>PEP</s:t>
        </s:is>
      </s:c>
      <s:c r="J4" s="6" t="inlineStr">
        <s:is>
          <s:t>PG</s:t>
        </s:is>
      </s:c>
      <s:c r="K4" s="6" t="inlineStr">
        <s:is>
          <s:t>SBUX</s:t>
        </s:is>
      </s:c>
      <s:c r="L4" s="6" t="inlineStr">
        <s:is>
          <s:t>YUM</s:t>
        </s:is>
      </s:c>
      <s:c r="M4" s="6" t="inlineStr">
        <s:is>
          <s:t>DAL</s:t>
        </s:is>
      </s:c>
    </s:row>
    <s:row r="5" ht="24" customHeight="1">
      <s:c r="A5" s="7" t="inlineStr">
        <s:is>
          <s:t>Change: current − prior</s:t>
        </s:is>
      </s:c>
      <s:c r="B5" s="12" t="n"/>
      <s:c r="C5" s="12" t="n"/>
      <s:c r="D5" s="12" t="n"/>
      <s:c r="E5" s="12" t="n"/>
      <s:c r="F5" s="12" t="n"/>
      <s:c r="G5" s="12" t="n"/>
      <s:c r="H5" s="12" t="n"/>
      <s:c r="I5" s="12" t="n"/>
      <s:c r="J5" s="12" t="n"/>
      <s:c r="K5" s="12" t="n"/>
      <s:c r="L5" s="12" t="n"/>
      <s:c r="M5" s="12" t="n"/>
    </s:row>
    <s:row r="6" ht="24" customHeight="1">
      <s:c r="A6" s="2" t="inlineStr">
        <s:is>
          <s:t>Revenue ($m)</s:t>
        </s:is>
      </s:c>
      <s:c r="B6" s="18">
        <s:f>'Company Data'!B6-'Company Data'!B21</s:f>
        <s:v>32178.0</s:v>
      </s:c>
      <s:c r="C6" s="18">
        <s:f>'Company Data'!C6-'Company Data'!C21</s:f>
        <s:v>-1786.0</s:v>
      </s:c>
      <s:c r="D6" s="18">
        <s:f>'Company Data'!D6-'Company Data'!D21</s:f>
        <s:v>20782.0</s:v>
      </s:c>
      <s:c r="E6" s="18">
        <s:f>'Company Data'!E6-'Company Data'!E21</s:f>
        <s:v>5169.0</s:v>
      </s:c>
      <s:c r="F6" s="18">
        <s:f>'Company Data'!F6-'Company Data'!F21</s:f>
        <s:v>2612.0</s:v>
      </s:c>
      <s:c r="G6" s="18">
        <s:f>'Company Data'!G6-'Company Data'!G21</s:f>
        <s:v>89.0</s:v>
      </s:c>
      <s:c r="H6" s="18">
        <s:f>'Company Data'!H6-'Company Data'!H21</s:f>
        <s:v>880.0</s:v>
      </s:c>
      <s:c r="I6" s="18">
        <s:f>'Company Data'!I6-'Company Data'!I21</s:f>
        <s:v>2071.0</s:v>
      </s:c>
      <s:c r="J6" s="18">
        <s:f>'Company Data'!J6-'Company Data'!J21</s:f>
        <s:v>2748.0</s:v>
      </s:c>
      <s:c r="K6" s="18">
        <s:f>'Company Data'!K6-'Company Data'!K21</s:f>
        <s:v>1008.2</s:v>
      </s:c>
      <s:c r="L6" s="18">
        <s:f>'Company Data'!L6-'Company Data'!L21</s:f>
        <s:v>665.0</s:v>
      </s:c>
      <s:c r="M6" s="18">
        <s:f>'Company Data'!M6-'Company Data'!M21</s:f>
        <s:v>1721.0</s:v>
      </s:c>
    </s:row>
    <s:row r="7" ht="24" customHeight="1">
      <s:c r="A7" s="2" t="inlineStr">
        <s:is>
          <s:t>Net income ($m)</s:t>
        </s:is>
      </s:c>
      <s:c r="B7" s="18">
        <s:f>'Company Data'!B7-'Company Data'!B22</s:f>
        <s:v>2457.0</s:v>
      </s:c>
      <s:c r="C7" s="18">
        <s:f>'Company Data'!C7-'Company Data'!C22</s:f>
        <s:v>-386.0</s:v>
      </s:c>
      <s:c r="D7" s="18">
        <s:f>'Company Data'!D7-'Company Data'!D22</s:f>
        <s:v>732.0</s:v>
      </s:c>
      <s:c r="E7" s="18">
        <s:f>'Company Data'!E7-'Company Data'!E22</s:f>
        <s:v>-650.0</s:v>
      </s:c>
      <s:c r="F7" s="18">
        <s:f>'Company Data'!F7-'Company Data'!F22</s:f>
        <s:v>-303.0</s:v>
      </s:c>
      <s:c r="G7" s="18">
        <s:f>'Company Data'!G7-'Company Data'!G22</s:f>
        <s:v>-111.0</s:v>
      </s:c>
      <s:c r="H7" s="18">
        <s:f>'Company Data'!H7-'Company Data'!H22</s:f>
        <s:v>2476.0</s:v>
      </s:c>
      <s:c r="I7" s="18">
        <s:f>'Company Data'!I7-'Company Data'!I22</s:f>
        <s:v>-1338.0</s:v>
      </s:c>
      <s:c r="J7" s="18">
        <s:f>'Company Data'!J7-'Company Data'!J22</s:f>
        <s:v>72.0</s:v>
      </s:c>
      <s:c r="K7" s="18">
        <s:f>'Company Data'!K7-'Company Data'!K22</s:f>
        <s:v>-1904.5</s:v>
      </s:c>
      <s:c r="L7" s="18">
        <s:f>'Company Data'!L7-'Company Data'!L22</s:f>
        <s:v>73.0</s:v>
      </s:c>
      <s:c r="M7" s="18">
        <s:f>'Company Data'!M7-'Company Data'!M22</s:f>
        <s:v>1548.0</s:v>
      </s:c>
    </s:row>
    <s:row r="8" ht="24" customHeight="1">
      <s:c r="A8" s="2" t="inlineStr">
        <s:is>
          <s:t>Basic EPS ($/share)</s:t>
        </s:is>
      </s:c>
      <s:c r="B8" s="19">
        <s:f>'Company Data'!B8-'Company Data'!B23</s:f>
        <s:v>0.32</s:v>
      </s:c>
      <s:c r="C8" s="19">
        <s:f>'Company Data'!C8-'Company Data'!C23</s:f>
        <s:v>-0.73</s:v>
      </s:c>
      <s:c r="D8" s="19">
        <s:f>'Company Data'!D8-'Company Data'!D23</s:f>
        <s:v>1.65</s:v>
      </s:c>
      <s:c r="E8" s="19">
        <s:f>'Company Data'!E8-'Company Data'!E23</s:f>
        <s:v>-0.7</s:v>
      </s:c>
      <s:c r="F8" s="19">
        <s:f>'Company Data'!F8-'Company Data'!F23</s:f>
        <s:v>-0.38</s:v>
      </s:c>
      <s:c r="G8" s="19">
        <s:f>'Company Data'!G8-'Company Data'!G23</s:f>
        <s:v>-0.07</s:v>
      </s:c>
      <s:c r="H8" s="19">
        <s:f>'Company Data'!H8-'Company Data'!H23</s:f>
        <s:v>0.58</s:v>
      </s:c>
      <s:c r="I8" s="19">
        <s:f>'Company Data'!I8-'Company Data'!I23</s:f>
        <s:v>-0.954806</s:v>
      </s:c>
      <s:c r="J8" s="19">
        <s:f>'Company Data'!J8-'Company Data'!J23</s:f>
        <s:v>0.08</s:v>
      </s:c>
      <s:c r="K8" s="19">
        <s:f>'Company Data'!K8-'Company Data'!K23</s:f>
        <s:v>-1.685092</s:v>
      </s:c>
      <s:c r="L8" s="19">
        <s:f>'Company Data'!L8-'Company Data'!L23</s:f>
        <s:v>0.31</s:v>
      </s:c>
      <s:c r="M8" s="19">
        <s:f>'Company Data'!M8-'Company Data'!M23</s:f>
        <s:v>2.330009</s:v>
      </s:c>
    </s:row>
    <s:row r="9" ht="24" customHeight="1">
      <s:c r="A9" s="2" t="inlineStr">
        <s:is>
          <s:t>Shares outstanding (m)</s:t>
        </s:is>
      </s:c>
      <s:c r="B9" s="20">
        <s:f>'Company Data'!B9-'Company Data'!B24</s:f>
        <s:v>-55.0</s:v>
      </s:c>
      <s:c r="C9" s="20">
        <s:f>'Company Data'!C9-'Company Data'!C24</s:f>
        <s:v>-2.726808</s:v>
      </s:c>
      <s:c r="D9" s="20">
        <s:f>'Company Data'!D9-'Company Data'!D24</s:f>
        <s:v>0.111</s:v>
      </s:c>
      <s:c r="E9" s="20">
        <s:f>'Company Data'!E9-'Company Data'!E24</s:f>
        <s:v>1.511485</s:v>
      </s:c>
      <s:c r="F9" s="20">
        <s:f>'Company Data'!F9-'Company Data'!F24</s:f>
        <s:v>0.951457</s:v>
      </s:c>
      <s:c r="G9" s="20">
        <s:f>'Company Data'!G9-'Company Data'!G24</s:f>
        <s:v>7.498703</s:v>
      </s:c>
      <s:c r="H9" s="20">
        <s:f>'Company Data'!H9-'Company Data'!H24</s:f>
        <s:v>-0.391155</s:v>
      </s:c>
      <s:c r="I9" s="20">
        <s:f>'Company Data'!I9-'Company Data'!I24</s:f>
        <s:v>-4.648903</s:v>
      </s:c>
      <s:c r="J9" s="20">
        <s:f>'Company Data'!J9-'Company Data'!J24</s:f>
        <s:v>-18.085</s:v>
      </s:c>
      <s:c r="K9" s="20">
        <s:f>'Company Data'!K9-'Company Data'!K24</s:f>
        <s:v>3.4</s:v>
      </s:c>
      <s:c r="L9" s="20">
        <s:f>'Company Data'!L9-'Company Data'!L24</s:f>
        <s:v>-2.502362</s:v>
      </s:c>
      <s:c r="M9" s="20">
        <s:f>'Company Data'!M9-'Company Data'!M24</s:f>
        <s:v>6.698602</s:v>
      </s:c>
    </s:row>
    <s:row r="10" ht="24" customHeight="1">
      <s:c r="A10" s="2" t="inlineStr">
        <s:is>
          <s:t>Total assets ($m)</s:t>
        </s:is>
      </s:c>
      <s:c r="B10" s="18">
        <s:f>'Company Data'!B10-'Company Data'!B25</s:f>
        <s:v>23845.0</s:v>
      </s:c>
      <s:c r="C10" s="18">
        <s:f>'Company Data'!C10-'Company Data'!C25</s:f>
        <s:v>1721.0</s:v>
      </s:c>
      <s:c r="D10" s="18">
        <s:f>'Company Data'!D10-'Company Data'!D25</s:f>
        <s:v>7268.0</s:v>
      </s:c>
      <s:c r="E10" s="18">
        <s:f>'Company Data'!E10-'Company Data'!E25</s:f>
        <s:v>8976.0</s:v>
      </s:c>
      <s:c r="F10" s="18">
        <s:f>'Company Data'!F10-'Company Data'!F25</s:f>
        <s:v>11042.0</s:v>
      </s:c>
      <s:c r="G10" s="18">
        <s:f>'Company Data'!G10-'Company Data'!G25</s:f>
        <s:v>1831.0</s:v>
      </s:c>
      <s:c r="H10" s="18">
        <s:f>'Company Data'!H10-'Company Data'!H25</s:f>
        <s:v>4267.0</s:v>
      </s:c>
      <s:c r="I10" s="18">
        <s:f>'Company Data'!I10-'Company Data'!I25</s:f>
        <s:v>7932.0</s:v>
      </s:c>
      <s:c r="J10" s="18">
        <s:f>'Company Data'!J10-'Company Data'!J25</s:f>
        <s:v>1290.0</s:v>
      </s:c>
      <s:c r="K10" s="18">
        <s:f>'Company Data'!K10-'Company Data'!K25</s:f>
        <s:v>680.4</s:v>
      </s:c>
      <s:c r="L10" s="18">
        <s:f>'Company Data'!L10-'Company Data'!L25</s:f>
        <s:v>1470.0</s:v>
      </s:c>
      <s:c r="M10" s="18">
        <s:f>'Company Data'!M10-'Company Data'!M25</s:f>
        <s:v>5945.0</s:v>
      </s:c>
    </s:row>
    <s:row r="11" ht="24" customHeight="1">
      <s:c r="A11" s="2" t="inlineStr">
        <s:is>
          <s:t>EBIT ($m)</s:t>
        </s:is>
      </s:c>
      <s:c r="B11" s="18">
        <s:f>'Company Data'!B11-'Company Data'!B26</s:f>
        <s:v>3231.0</s:v>
      </s:c>
      <s:c r="C11" s="18">
        <s:f>'Company Data'!C11-'Company Data'!C26</s:f>
        <s:v>-460.0</s:v>
      </s:c>
      <s:c r="D11" s="18">
        <s:f>'Company Data'!D11-'Company Data'!D26</s:f>
        <s:v>1063.0</s:v>
      </s:c>
      <s:c r="E11" s="18">
        <s:f>'Company Data'!E11-'Company Data'!E26</s:f>
        <s:v>-713.0</s:v>
      </s:c>
      <s:c r="F11" s="18">
        <s:f>'Company Data'!F11-'Company Data'!F26</s:f>
        <s:v>-351.0</s:v>
      </s:c>
      <s:c r="G11" s="18">
        <s:f>'Company Data'!G11-'Company Data'!G26</s:f>
        <s:v>95.0</s:v>
      </s:c>
      <s:c r="H11" s="18">
        <s:f>'Company Data'!H11-'Company Data'!H26</s:f>
        <s:v>2910.0</s:v>
      </s:c>
      <s:c r="I11" s="18">
        <s:f>'Company Data'!I11-'Company Data'!I26</s:f>
        <s:v>-1500.0</s:v>
      </s:c>
      <s:c r="J11" s="18">
        <s:f>'Company Data'!J11-'Company Data'!J26</s:f>
        <s:v>180.0</s:v>
      </s:c>
      <s:c r="K11" s="18">
        <s:f>'Company Data'!K11-'Company Data'!K26</s:f>
        <s:v>-2481.7</s:v>
      </s:c>
      <s:c r="L11" s="18">
        <s:f>'Company Data'!L11-'Company Data'!L26</s:f>
        <s:v>189.0</s:v>
      </s:c>
      <s:c r="M11" s="18">
        <s:f>'Company Data'!M11-'Company Data'!M26</s:f>
        <s:v>1459.0</s:v>
      </s:c>
    </s:row>
    <s:row r="12" ht="24" customHeight="1">
      <s:c r="A12" s="2" t="inlineStr">
        <s:is>
          <s:t>Net PP&amp;E ($m)</s:t>
        </s:is>
      </s:c>
      <s:c r="B12" s="18">
        <s:f>'Company Data'!B12-'Company Data'!B27</s:f>
        <s:v>17252.0</s:v>
      </s:c>
      <s:c r="C12" s="18">
        <s:f>'Company Data'!C12-'Company Data'!C27</s:f>
        <s:v>667.0</s:v>
      </s:c>
      <s:c r="D12" s="18">
        <s:f>'Company Data'!D12-'Company Data'!D27</s:f>
        <s:v>2985.0</s:v>
      </s:c>
      <s:c r="E12" s="18">
        <s:f>'Company Data'!E12-'Company Data'!E27</s:f>
        <s:v>1931.0</s:v>
      </s:c>
      <s:c r="F12" s="18">
        <s:f>'Company Data'!F12-'Company Data'!F27</s:f>
        <s:v>1278.0</s:v>
      </s:c>
      <s:c r="G12" s="18">
        <s:f>'Company Data'!G12-'Company Data'!G27</s:f>
        <s:v>94.0</s:v>
      </s:c>
      <s:c r="H12" s="18">
        <s:f>'Company Data'!H12-'Company Data'!H27</s:f>
        <s:v>-690.0</s:v>
      </s:c>
      <s:c r="I12" s="18">
        <s:f>'Company Data'!I12-'Company Data'!I27</s:f>
        <s:v>2259.0</s:v>
      </s:c>
      <s:c r="J12" s="18">
        <s:f>'Company Data'!J12-'Company Data'!J27</s:f>
        <s:v>1463.0</s:v>
      </s:c>
      <s:c r="K12" s="18">
        <s:f>'Company Data'!K12-'Company Data'!K27</s:f>
        <s:v>-142.5</s:v>
      </s:c>
      <s:c r="L12" s="18">
        <s:f>'Company Data'!L12-'Company Data'!L27</s:f>
        <s:v>633.0</s:v>
      </s:c>
      <s:c r="M12" s="18">
        <s:f>'Company Data'!M12-'Company Data'!M27</s:f>
        <s:v>1748.0</s:v>
      </s:c>
    </s:row>
    <s:row r="13" ht="24" customHeight="1">
      <s:c r="A13" s="2" t="inlineStr">
        <s:is>
          <s:t>Current assets ($m)</s:t>
        </s:is>
      </s:c>
      <s:c r="B13" s="18">
        <s:f>'Company Data'!B13-'Company Data'!B28</s:f>
        <s:v>5416.0</s:v>
      </s:c>
      <s:c r="C13" s="18">
        <s:f>'Company Data'!C13-'Company Data'!C28</s:f>
        <s:v>551.0</s:v>
      </s:c>
      <s:c r="D13" s="18">
        <s:f>'Company Data'!D13-'Company Data'!D28</s:f>
        <s:v>4134.0</s:v>
      </s:c>
      <s:c r="E13" s="18">
        <s:f>'Company Data'!E13-'Company Data'!E28</s:f>
        <s:v>2708.0</s:v>
      </s:c>
      <s:c r="F13" s="18">
        <s:f>'Company Data'!F13-'Company Data'!F28</s:f>
        <s:v>597.0</s:v>
      </s:c>
      <s:c r="G13" s="18">
        <s:f>'Company Data'!G13-'Company Data'!G28</s:f>
        <s:v>1241.0</s:v>
      </s:c>
      <s:c r="H13" s="18">
        <s:f>'Company Data'!H13-'Company Data'!H28</s:f>
        <s:v>5047.0</s:v>
      </s:c>
      <s:c r="I13" s="18">
        <s:f>'Company Data'!I13-'Company Data'!I28</s:f>
        <s:v>2123.0</s:v>
      </s:c>
      <s:c r="J13" s="18">
        <s:f>'Company Data'!J13-'Company Data'!J28</s:f>
        <s:v>816.0</s:v>
      </s:c>
      <s:c r="K13" s="18">
        <s:f>'Company Data'!K13-'Company Data'!K28</s:f>
        <s:v>534.9</s:v>
      </s:c>
      <s:c r="L13" s="18">
        <s:f>'Company Data'!L13-'Company Data'!L28</s:f>
        <s:v>169.0</s:v>
      </s:c>
      <s:c r="M13" s="18">
        <s:f>'Company Data'!M13-'Company Data'!M28</s:f>
        <s:v>1124.0</s:v>
      </s:c>
    </s:row>
    <s:row r="14" ht="24" customHeight="1">
      <s:c r="A14" s="2" t="inlineStr">
        <s:is>
          <s:t>Current liabilities ($m)</s:t>
        </s:is>
      </s:c>
      <s:c r="B14" s="18">
        <s:f>'Company Data'!B14-'Company Data'!B29</s:f>
        <s:v>10885.0</s:v>
      </s:c>
      <s:c r="C14" s="18">
        <s:f>'Company Data'!C14-'Company Data'!C29</s:f>
        <s:v>431.0</s:v>
      </s:c>
      <s:c r="D14" s="18">
        <s:f>'Company Data'!D14-'Company Data'!D29</s:f>
        <s:v>1644.0</s:v>
      </s:c>
      <s:c r="E14" s="18">
        <s:f>'Company Data'!E14-'Company Data'!E29</s:f>
        <s:v>3763.0</s:v>
      </s:c>
      <s:c r="F14" s="18">
        <s:f>'Company Data'!F14-'Company Data'!F29</s:f>
        <s:v>706.0</s:v>
      </s:c>
      <s:c r="G14" s="18">
        <s:f>'Company Data'!G14-'Company Data'!G29</s:f>
        <s:v>1981.0</s:v>
      </s:c>
      <s:c r="H14" s="18">
        <s:f>'Company Data'!H14-'Company Data'!H29</s:f>
        <s:v>-3968.0</s:v>
      </s:c>
      <s:c r="I14" s="18">
        <s:f>'Company Data'!I14-'Company Data'!I29</s:f>
        <s:v>1228.0</s:v>
      </s:c>
      <s:c r="J14" s="18">
        <s:f>'Company Data'!J14-'Company Data'!J29</s:f>
        <s:v>2636.0</s:v>
      </s:c>
      <s:c r="K14" s="18">
        <s:f>'Company Data'!K14-'Company Data'!K29</s:f>
        <s:v>1140.4</s:v>
      </s:c>
      <s:c r="L14" s="18">
        <s:f>'Company Data'!L14-'Company Data'!L29</s:f>
        <s:v>247.0</s:v>
      </s:c>
      <s:c r="M14" s="18">
        <s:f>'Company Data'!M14-'Company Data'!M29</s:f>
        <s:v>954.0</s:v>
      </s:c>
    </s:row>
    <s:row r="15" ht="24" customHeight="1">
      <s:c r="A15" s="2" t="inlineStr">
        <s:is>
          <s:t>Stockholders’ equity ($m)</s:t>
        </s:is>
      </s:c>
      <s:c r="B15" s="18">
        <s:f>'Company Data'!B15-'Company Data'!B30</s:f>
        <s:v>8604.0</s:v>
      </s:c>
      <s:c r="C15" s="18">
        <s:f>'Company Data'!C15-'Company Data'!C30</s:f>
        <s:v>1499.0</s:v>
      </s:c>
      <s:c r="D15" s="18">
        <s:f>'Company Data'!D15-'Company Data'!D30</s:f>
        <s:v>5542.0</s:v>
      </s:c>
      <s:c r="E15" s="18">
        <s:f>'Company Data'!E15-'Company Data'!E30</s:f>
        <s:v>6173.0</s:v>
      </s:c>
      <s:c r="F15" s="18">
        <s:f>'Company Data'!F15-'Company Data'!F30</s:f>
        <s:v>4314.0</s:v>
      </s:c>
      <s:c r="G15" s="18">
        <s:f>'Company Data'!G15-'Company Data'!G30</s:f>
        <s:v>1652.0</s:v>
      </s:c>
      <s:c r="H15" s="18">
        <s:f>'Company Data'!H15-'Company Data'!H30</s:f>
        <s:v>7313.0</s:v>
      </s:c>
      <s:c r="I15" s="18">
        <s:f>'Company Data'!I15-'Company Data'!I30</s:f>
        <s:v>2365.0</s:v>
      </s:c>
      <s:c r="J15" s="18">
        <s:f>'Company Data'!J15-'Company Data'!J30</s:f>
        <s:v>2069.0</s:v>
      </s:c>
      <s:c r="K15" s="18">
        <s:f>'Company Data'!K15-'Company Data'!K30</s:f>
        <s:v>-647.7</s:v>
      </s:c>
      <s:c r="L15" s="18">
        <s:f>'Company Data'!L15-'Company Data'!L30</s:f>
        <s:v>323.0</s:v>
      </s:c>
      <s:c r="M15" s="18">
        <s:f>'Company Data'!M15-'Company Data'!M30</s:f>
        <s:v>5560.0</s:v>
      </s:c>
    </s:row>
    <s:row r="16" ht="24" customHeight="1">
      <s:c r="A16" s="2" t="inlineStr">
        <s:is>
          <s:t>Pretax income ($m)</s:t>
        </s:is>
      </s:c>
      <s:c r="B16" s="18">
        <s:f>'Company Data'!B16-'Company Data'!B31</s:f>
        <s:v>3160.0</s:v>
      </s:c>
      <s:c r="C16" s="18">
        <s:f>'Company Data'!C16-'Company Data'!C31</s:f>
        <s:v>-494.0</s:v>
      </s:c>
      <s:c r="D16" s="18">
        <s:f>'Company Data'!D16-'Company Data'!D31</s:f>
        <s:v>1078.0</s:v>
      </s:c>
      <s:c r="E16" s="18">
        <s:f>'Company Data'!E16-'Company Data'!E31</s:f>
        <s:v>-804.0</s:v>
      </s:c>
      <s:c r="F16" s="18">
        <s:f>'Company Data'!F16-'Company Data'!F31</s:f>
        <s:v>-406.0</s:v>
      </s:c>
      <s:c r="G16" s="18">
        <s:f>'Company Data'!G16-'Company Data'!G31</s:f>
        <s:v>15.0</s:v>
      </s:c>
      <s:c r="H16" s="18">
        <s:f>'Company Data'!H16-'Company Data'!H31</s:f>
        <s:v>2912.0</s:v>
      </s:c>
      <s:c r="I16" s="18">
        <s:f>'Company Data'!I16-'Company Data'!I31</s:f>
        <s:v>-1702.0</s:v>
      </s:c>
      <s:c r="J16" s="18">
        <s:f>'Company Data'!J16-'Company Data'!J31</s:f>
        <s:v>210.0</s:v>
      </s:c>
      <s:c r="K16" s="18">
        <s:f>'Company Data'!K16-'Company Data'!K31</s:f>
        <s:v>-2462.3</s:v>
      </s:c>
      <s:c r="L16" s="18">
        <s:f>'Company Data'!L16-'Company Data'!L31</s:f>
        <s:v>177.0</s:v>
      </s:c>
      <s:c r="M16" s="18">
        <s:f>'Company Data'!M16-'Company Data'!M31</s:f>
        <s:v>1527.0</s:v>
      </s:c>
    </s:row>
    <s:row r="17" ht="24" customHeight="1">
      <s:c r="A17" s="2" t="inlineStr">
        <s:is>
          <s:t>Tax provision ($m)</s:t>
        </s:is>
      </s:c>
      <s:c r="B17" s="18">
        <s:f>'Company Data'!B17-'Company Data'!B32</s:f>
        <s:v>1047.0</s:v>
      </s:c>
      <s:c r="C17" s="18">
        <s:f>'Company Data'!C17-'Company Data'!C32</s:f>
        <s:v>-108.0</s:v>
      </s:c>
      <s:c r="D17" s="18">
        <s:f>'Company Data'!D17-'Company Data'!D32</s:f>
        <s:v>346.0</s:v>
      </s:c>
      <s:c r="E17" s="18">
        <s:f>'Company Data'!E17-'Company Data'!E32</s:f>
        <s:v>-154.0</s:v>
      </s:c>
      <s:c r="F17" s="18">
        <s:f>'Company Data'!F17-'Company Data'!F32</s:f>
        <s:v>-103.0</s:v>
      </s:c>
      <s:c r="G17" s="18">
        <s:f>'Company Data'!G17-'Company Data'!G32</s:f>
        <s:v>126.0</s:v>
      </s:c>
      <s:c r="H17" s="18">
        <s:f>'Company Data'!H17-'Company Data'!H32</s:f>
        <s:v>424.0</s:v>
      </s:c>
      <s:c r="I17" s="18">
        <s:f>'Company Data'!I17-'Company Data'!I32</s:f>
        <s:v>-371.0</s:v>
      </s:c>
      <s:c r="J17" s="18">
        <s:f>'Company Data'!J17-'Company Data'!J32</s:f>
        <s:v>131.0</s:v>
      </s:c>
      <s:c r="K17" s="18">
        <s:f>'Company Data'!K17-'Company Data'!K32</s:f>
        <s:v>-556.7</s:v>
      </s:c>
      <s:c r="L17" s="18">
        <s:f>'Company Data'!L17-'Company Data'!L32</s:f>
        <s:v>104.0</s:v>
      </s:c>
      <s:c r="M17" s="18">
        <s:f>'Company Data'!M17-'Company Data'!M32</s:f>
        <s:v>-21.0</s:v>
      </s:c>
    </s:row>
    <s:row r="18" ht="24" customHeight="1">
      <s:c r="A18" s="2" t="inlineStr">
        <s:is>
          <s:t>Net working capital ($m)</s:t>
        </s:is>
      </s:c>
      <s:c r="B18" s="18">
        <s:f>('Company Data'!B13-'Company Data'!B14)-('Company Data'!B28-'Company Data'!B29)</s:f>
        <s:v>-5469.0</s:v>
      </s:c>
      <s:c r="C18" s="18">
        <s:f>('Company Data'!C13-'Company Data'!C14)-('Company Data'!C28-'Company Data'!C29)</s:f>
        <s:v>120.0</s:v>
      </s:c>
      <s:c r="D18" s="18">
        <s:f>('Company Data'!D13-'Company Data'!D14)-('Company Data'!D28-'Company Data'!D29)</s:f>
        <s:v>2490.0</s:v>
      </s:c>
      <s:c r="E18" s="18">
        <s:f>('Company Data'!E13-'Company Data'!E14)-('Company Data'!E28-'Company Data'!E29)</s:f>
        <s:v>-1055.0</s:v>
      </s:c>
      <s:c r="F18" s="18">
        <s:f>('Company Data'!F13-'Company Data'!F14)-('Company Data'!F28-'Company Data'!F29)</s:f>
        <s:v>-109.0</s:v>
      </s:c>
      <s:c r="G18" s="18">
        <s:f>('Company Data'!G13-'Company Data'!G14)-('Company Data'!G28-'Company Data'!G29)</s:f>
        <s:v>-740.0</s:v>
      </s:c>
      <s:c r="H18" s="18">
        <s:f>('Company Data'!H13-'Company Data'!H14)-('Company Data'!H28-'Company Data'!H29)</s:f>
        <s:v>9015.0</s:v>
      </s:c>
      <s:c r="I18" s="18">
        <s:f>('Company Data'!I13-'Company Data'!I14)-('Company Data'!I28-'Company Data'!I29)</s:f>
        <s:v>895.0</s:v>
      </s:c>
      <s:c r="J18" s="18">
        <s:f>('Company Data'!J13-'Company Data'!J14)-('Company Data'!J28-'Company Data'!J29)</s:f>
        <s:v>-1820.0</s:v>
      </s:c>
      <s:c r="K18" s="18">
        <s:f>('Company Data'!K13-'Company Data'!K14)-('Company Data'!K28-'Company Data'!K29)</s:f>
        <s:v>-605.4999999999991</s:v>
      </s:c>
      <s:c r="L18" s="18">
        <s:f>('Company Data'!L13-'Company Data'!L14)-('Company Data'!L28-'Company Data'!L29)</s:f>
        <s:v>-78.0</s:v>
      </s:c>
      <s:c r="M18" s="18">
        <s:f>('Company Data'!M13-'Company Data'!M14)-('Company Data'!M28-'Company Data'!M29)</s:f>
        <s:v>170.0</s:v>
      </s:c>
    </s:row>
    <s:row r="19" ht="10" customHeight="1">
      <s:c r="A19" s="2" t="n"/>
      <s:c r="B19" s="3" t="n"/>
      <s:c r="C19" s="3" t="n"/>
      <s:c r="D19" s="3" t="n"/>
      <s:c r="E19" s="3" t="n"/>
      <s:c r="F19" s="3" t="n"/>
      <s:c r="G19" s="3" t="n"/>
      <s:c r="H19" s="3" t="n"/>
      <s:c r="I19" s="3" t="n"/>
      <s:c r="J19" s="3" t="n"/>
      <s:c r="K19" s="3" t="n"/>
      <s:c r="L19" s="3" t="n"/>
      <s:c r="M19" s="3" t="n"/>
    </s:row>
    <s:row r="20" ht="10" customHeight="1">
      <s:c r="A20" s="2" t="n"/>
      <s:c r="B20" s="3" t="n"/>
      <s:c r="C20" s="3" t="n"/>
      <s:c r="D20" s="3" t="n"/>
      <s:c r="E20" s="3" t="n"/>
      <s:c r="F20" s="3" t="n"/>
      <s:c r="G20" s="3" t="n"/>
      <s:c r="H20" s="3" t="n"/>
      <s:c r="I20" s="3" t="n"/>
      <s:c r="J20" s="3" t="n"/>
      <s:c r="K20" s="3" t="n"/>
      <s:c r="L20" s="3" t="n"/>
      <s:c r="M20" s="3" t="n"/>
    </s:row>
    <s:row r="21" ht="24" customHeight="1">
      <s:c r="A21" s="7" t="inlineStr">
        <s:is>
          <s:t>Percentage change</s:t>
        </s:is>
      </s:c>
      <s:c r="B21" s="12" t="n"/>
      <s:c r="C21" s="12" t="n"/>
      <s:c r="D21" s="12" t="n"/>
      <s:c r="E21" s="12" t="n"/>
      <s:c r="F21" s="12" t="n"/>
      <s:c r="G21" s="12" t="n"/>
      <s:c r="H21" s="12" t="n"/>
      <s:c r="I21" s="12" t="n"/>
      <s:c r="J21" s="12" t="n"/>
      <s:c r="K21" s="12" t="n"/>
      <s:c r="L21" s="12" t="n"/>
      <s:c r="M21" s="12" t="n"/>
    </s:row>
    <s:row r="22" ht="24" customHeight="1">
      <s:c r="A22" s="2" t="inlineStr">
        <s:is>
          <s:t>Revenue</s:t>
        </s:is>
      </s:c>
      <s:c r="B22" s="21">
        <s:f>IF('Company Data'!B21&lt;=0,"n/m",('Company Data'!B6-'Company Data'!B21)/'Company Data'!B21)</s:f>
        <s:v>0.04725214211766779</s:v>
      </s:c>
      <s:c r="C22" s="21">
        <s:f>IF('Company Data'!C21&lt;=0,"n/m",('Company Data'!C6-'Company Data'!C21)/'Company Data'!C21)</s:f>
        <s:v>-0.01675956684120639</s:v>
      </s:c>
      <s:c r="D22" s="21">
        <s:f>IF('Company Data'!D21&lt;=0,"n/m",('Company Data'!D6-'Company Data'!D21)/'Company Data'!D21)</s:f>
        <s:v>0.08167323631476146</s:v>
      </s:c>
      <s:c r="E22" s="21">
        <s:f>IF('Company Data'!E21&lt;=0,"n/m",('Company Data'!E6-'Company Data'!E21)/'Company Data'!E21)</s:f>
        <s:v>0.03240467921310982</s:v>
      </s:c>
      <s:c r="F22" s="21">
        <s:f>IF('Company Data'!F21&lt;=0,"n/m",('Company Data'!F6-'Company Data'!F21)/'Company Data'!F21)</s:f>
        <s:v>0.03121638740827497</s:v>
      </s:c>
      <s:c r="G22" s="21">
        <s:f>IF('Company Data'!G21&lt;=0,"n/m",('Company Data'!G6-'Company Data'!G21)/'Company Data'!G21)</s:f>
        <s:v>0.0019218726381480921</s:v>
      </s:c>
      <s:c r="H22" s="21">
        <s:f>IF('Company Data'!H21&lt;=0,"n/m",('Company Data'!H6-'Company Data'!H21)/'Company Data'!H21)</s:f>
        <s:v>0.018699135164998618</s:v>
      </s:c>
      <s:c r="I22" s="21">
        <s:f>IF('Company Data'!I21&lt;=0,"n/m",('Company Data'!I6-'Company Data'!I21)/'Company Data'!I21)</s:f>
        <s:v>0.022546650118666578</s:v>
      </s:c>
      <s:c r="J22" s="21">
        <s:f>IF('Company Data'!J21&lt;=0,"n/m",('Company Data'!J6-'Company Data'!J21)/'Company Data'!J21)</s:f>
        <s:v>0.03260405296378909</s:v>
      </s:c>
      <s:c r="K22" s="21">
        <s:f>IF('Company Data'!K21&lt;=0,"n/m",('Company Data'!K6-'Company Data'!K21)/'Company Data'!K21)</s:f>
        <s:v>0.027869151541621288</s:v>
      </s:c>
      <s:c r="L22" s="21">
        <s:f>IF('Company Data'!L21&lt;=0,"n/m",('Company Data'!L6-'Company Data'!L21)/'Company Data'!L21)</s:f>
        <s:v>0.08809113789905948</s:v>
      </s:c>
      <s:c r="M22" s="21">
        <s:f>IF('Company Data'!M21&lt;=0,"n/m",('Company Data'!M6-'Company Data'!M21)/'Company Data'!M21)</s:f>
        <s:v>0.027918822899599304</s:v>
      </s:c>
    </s:row>
    <s:row r="23" ht="24" customHeight="1">
      <s:c r="A23" s="2" t="inlineStr">
        <s:is>
          <s:t>Net income</s:t>
        </s:is>
      </s:c>
      <s:c r="B23" s="21">
        <s:f>IF('Company Data'!B22&lt;=0,"n/m",('Company Data'!B7-'Company Data'!B22)/'Company Data'!B22)</s:f>
        <s:v>0.1264149001852233</s:v>
      </s:c>
      <s:c r="C23" s="21">
        <s:f>IF('Company Data'!C22&lt;=0,"n/m",('Company Data'!C7-'Company Data'!C22)/'Company Data'!C22)</s:f>
        <s:v>-0.0943534588120264</s:v>
      </s:c>
      <s:c r="D23" s="21">
        <s:f>IF('Company Data'!D22&lt;=0,"n/m",('Company Data'!D7-'Company Data'!D22)/'Company Data'!D22)</s:f>
        <s:v>0.09936201981810777</s:v>
      </s:c>
      <s:c r="E23" s="21">
        <s:f>IF('Company Data'!E22&lt;=0,"n/m",('Company Data'!E7-'Company Data'!E22)/'Company Data'!E22)</s:f>
        <s:v>-0.04390112116709442</s:v>
      </s:c>
      <s:c r="F23" s="21">
        <s:f>IF('Company Data'!F22&lt;=0,"n/m",('Company Data'!F7-'Company Data'!F22)/'Company Data'!F22)</s:f>
        <s:v>-0.043553255713669685</s:v>
      </s:c>
      <s:c r="G23" s="21">
        <s:f>IF('Company Data'!G22&lt;=0,"n/m",('Company Data'!G7-'Company Data'!G22)/'Company Data'!G22)</s:f>
        <s:v>-0.034482758620689655</s:v>
      </s:c>
      <s:c r="H23" s="21">
        <s:f>IF('Company Data'!H22&lt;=0,"n/m",('Company Data'!H7-'Company Data'!H22)/'Company Data'!H22)</s:f>
        <s:v>0.23290377198758347</s:v>
      </s:c>
      <s:c r="I23" s="21">
        <s:f>IF('Company Data'!I22&lt;=0,"n/m",('Company Data'!I7-'Company Data'!I22)/'Company Data'!I22)</s:f>
        <s:v>-0.13969513468365002</s:v>
      </s:c>
      <s:c r="J23" s="21">
        <s:f>IF('Company Data'!J22&lt;=0,"n/m",('Company Data'!J7-'Company Data'!J22)/'Company Data'!J22)</s:f>
        <s:v>0.0045073244021535</s:v>
      </s:c>
      <s:c r="K23" s="21">
        <s:f>IF('Company Data'!K22&lt;=0,"n/m",('Company Data'!K7-'Company Data'!K22)/'Company Data'!K22)</s:f>
        <s:v>-0.5063947459384722</s:v>
      </s:c>
      <s:c r="L23" s="21">
        <s:f>IF('Company Data'!L22&lt;=0,"n/m",('Company Data'!L7-'Company Data'!L22)/'Company Data'!L22)</s:f>
        <s:v>0.04912516823687752</s:v>
      </s:c>
      <s:c r="M23" s="21">
        <s:f>IF('Company Data'!M22&lt;=0,"n/m",('Company Data'!M7-'Company Data'!M22)/'Company Data'!M22)</s:f>
        <s:v>0.4477870986404397</s:v>
      </s:c>
    </s:row>
    <s:row r="24" ht="24" customHeight="1">
      <s:c r="A24" s="2" t="inlineStr">
        <s:is>
          <s:t>Basic EPS</s:t>
        </s:is>
      </s:c>
      <s:c r="B24" s="21">
        <s:f>IF('Company Data'!B23&lt;=0,"n/m",('Company Data'!B8-'Company Data'!B23)/'Company Data'!B23)</s:f>
        <s:v>0.1322314049586777</s:v>
      </s:c>
      <s:c r="C24" s="21">
        <s:f>IF('Company Data'!C23&lt;=0,"n/m",('Company Data'!C8-'Company Data'!C23)/'Company Data'!C23)</s:f>
        <s:v>-0.08211473565804274</s:v>
      </s:c>
      <s:c r="D24" s="21">
        <s:f>IF('Company Data'!D23&lt;=0,"n/m",('Company Data'!D8-'Company Data'!D23)/'Company Data'!D23)</s:f>
        <s:v>0.09945750452079566</s:v>
      </s:c>
      <s:c r="E24" s="21">
        <s:f>IF('Company Data'!E23&lt;=0,"n/m",('Company Data'!E8-'Company Data'!E23)/'Company Data'!E23)</s:f>
        <s:v>-0.04679144385026738</s:v>
      </s:c>
      <s:c r="F24" s="21">
        <s:f>IF('Company Data'!F23&lt;=0,"n/m",('Company Data'!F8-'Company Data'!F23)/'Company Data'!F23)</s:f>
        <s:v>-0.031020408163265307</s:v>
      </s:c>
      <s:c r="G24" s="21">
        <s:f>IF('Company Data'!G23&lt;=0,"n/m",('Company Data'!G8-'Company Data'!G23)/'Company Data'!G23)</s:f>
        <s:v>-0.03225806451612903</s:v>
      </s:c>
      <s:c r="H24" s="21">
        <s:f>IF('Company Data'!H23&lt;=0,"n/m",('Company Data'!H8-'Company Data'!H23)/'Company Data'!H23)</s:f>
        <s:v>0.23481781376518218</s:v>
      </s:c>
      <s:c r="I24" s="21">
        <s:f>IF('Company Data'!I23&lt;=0,"n/m",('Company Data'!I8-'Company Data'!I23)/'Company Data'!I23)</s:f>
        <s:v>-0.13677003855406844</s:v>
      </s:c>
      <s:c r="J24" s="21">
        <s:f>IF('Company Data'!J23&lt;=0,"n/m",('Company Data'!J8-'Company Data'!J23)/'Company Data'!J23)</s:f>
        <s:v>0.01199400299850075</s:v>
      </s:c>
      <s:c r="K24" s="21">
        <s:f>IF('Company Data'!K23&lt;=0,"n/m",('Company Data'!K8-'Company Data'!K23)/'Company Data'!K23)</s:f>
        <s:v>-0.5078709674308226</s:v>
      </s:c>
      <s:c r="L24" s="21">
        <s:f>IF('Company Data'!L23&lt;=0,"n/m",('Company Data'!L8-'Company Data'!L23)/'Company Data'!L23)</s:f>
        <s:v>0.058712121212121215</s:v>
      </s:c>
      <s:c r="M24" s="21">
        <s:f>IF('Company Data'!M23&lt;=0,"n/m",('Company Data'!M8-'Company Data'!M23)/'Company Data'!M23)</s:f>
        <s:v>0.43228190905343244</s:v>
      </s:c>
    </s:row>
    <s:row r="25" ht="24" customHeight="1">
      <s:c r="A25" s="2" t="inlineStr">
        <s:is>
          <s:t>Shares outstanding</s:t>
        </s:is>
      </s:c>
      <s:c r="B25" s="21">
        <s:f>IF('Company Data'!B24&lt;=0,"n/m",('Company Data'!B9-'Company Data'!B24)/'Company Data'!B24)</s:f>
        <s:v>-0.0068544366899302095</s:v>
      </s:c>
      <s:c r="C25" s="21">
        <s:f>IF('Company Data'!C24&lt;=0,"n/m",('Company Data'!C9-'Company Data'!C24)/'Company Data'!C24)</s:f>
        <s:v>-0.005985525795168722</s:v>
      </s:c>
      <s:c r="D25" s="21">
        <s:f>IF('Company Data'!D24&lt;=0,"n/m",('Company Data'!D9-'Company Data'!D24)/'Company Data'!D24)</s:f>
        <s:v>0.00025049308774479495</s:v>
      </s:c>
      <s:c r="E25" s="21">
        <s:f>IF('Company Data'!E24&lt;=0,"n/m",('Company Data'!E9-'Company Data'!E24)/'Company Data'!E24)</s:f>
        <s:v>0.0015206086519114687</s:v>
      </s:c>
      <s:c r="F25" s="21">
        <s:f>IF('Company Data'!F24&lt;=0,"n/m",('Company Data'!F9-'Company Data'!F24)/'Company Data'!F24)</s:f>
        <s:v>0.0016990303571428572</s:v>
      </s:c>
      <s:c r="G25" s="21">
        <s:f>IF('Company Data'!G24&lt;=0,"n/m",('Company Data'!G9-'Company Data'!G24)/'Company Data'!G24)</s:f>
        <s:v>0.005080422086720867</s:v>
      </s:c>
      <s:c r="H25" s="21">
        <s:f>IF('Company Data'!H24&lt;=0,"n/m",('Company Data'!H9-'Company Data'!H24)/'Company Data'!H24)</s:f>
        <s:v>-9.092398884239888e-05</s:v>
      </s:c>
      <s:c r="I25" s="21">
        <s:f>IF('Company Data'!I24&lt;=0,"n/m",('Company Data'!I9-'Company Data'!I24)/'Company Data'!I24)</s:f>
        <s:v>-0.003388440370359377</s:v>
      </s:c>
      <s:c r="J25" s="21">
        <s:f>IF('Company Data'!J24&lt;=0,"n/m",('Company Data'!J9-'Company Data'!J24)/'Company Data'!J24)</s:f>
        <s:v>-0.007722217098273912</s:v>
      </s:c>
      <s:c r="K25" s="21">
        <s:f>IF('Company Data'!K24&lt;=0,"n/m",('Company Data'!K9-'Company Data'!K24)/'Company Data'!K24)</s:f>
        <s:v>0.002999558888398765</s:v>
      </s:c>
      <s:c r="L25" s="21">
        <s:f>IF('Company Data'!L24&lt;=0,"n/m",('Company Data'!L9-'Company Data'!L24)/'Company Data'!L24)</s:f>
        <s:v>-0.008966730123919985</s:v>
      </s:c>
      <s:c r="M25" s="21">
        <s:f>IF('Company Data'!M24&lt;=0,"n/m",('Company Data'!M9-'Company Data'!M24)/'Company Data'!M24)</s:f>
        <s:v>0.01036177192558197</s:v>
      </s:c>
    </s:row>
    <s:row r="26" ht="24" customHeight="1">
      <s:c r="A26" s="2" t="inlineStr">
        <s:is>
          <s:t>Total assets</s:t>
        </s:is>
      </s:c>
      <s:c r="B26" s="21">
        <s:f>IF('Company Data'!B25&lt;=0,"n/m",('Company Data'!B10-'Company Data'!B25)/'Company Data'!B25)</s:f>
        <s:v>0.0914221521874988</s:v>
      </s:c>
      <s:c r="C26" s="21">
        <s:f>IF('Company Data'!C25&lt;=0,"n/m",('Company Data'!C10-'Company Data'!C25)/'Company Data'!C25)</s:f>
        <s:v>0.0297910644117087</s:v>
      </s:c>
      <s:c r="D26" s="21">
        <s:f>IF('Company Data'!D25&lt;=0,"n/m",('Company Data'!D10-'Company Data'!D25)/'Company Data'!D25)</s:f>
        <s:v>0.10407984992338647</s:v>
      </s:c>
      <s:c r="E26" s="21">
        <s:f>IF('Company Data'!E25&lt;=0,"n/m",('Company Data'!E10-'Company Data'!E25)/'Company Data'!E25)</s:f>
        <s:v>0.09338424244946368</s:v>
      </s:c>
      <s:c r="F26" s="21">
        <s:f>IF('Company Data'!F25&lt;=0,"n/m",('Company Data'!F10-'Company Data'!F25)/'Company Data'!F25)</s:f>
        <s:v>0.2561830077490604</s:v>
      </s:c>
      <s:c r="G26" s="21">
        <s:f>IF('Company Data'!G25&lt;=0,"n/m",('Company Data'!G10-'Company Data'!G25)/'Company Data'!G25)</s:f>
        <s:v>0.050056043084830096</s:v>
      </s:c>
      <s:c r="H26" s="21">
        <s:f>IF('Company Data'!H25&lt;=0,"n/m",('Company Data'!H10-'Company Data'!H25)/'Company Data'!H25)</s:f>
        <s:v>0.04243702075604929</s:v>
      </s:c>
      <s:c r="I26" s="21">
        <s:f>IF('Company Data'!I25&lt;=0,"n/m",('Company Data'!I10-'Company Data'!I25)/'Company Data'!I25)</s:f>
        <s:v>0.07974504106889722</s:v>
      </s:c>
      <s:c r="J26" s="21">
        <s:f>IF('Company Data'!J25&lt;=0,"n/m",('Company Data'!J10-'Company Data'!J25)/'Company Data'!J25)</s:f>
        <s:v>0.010300963818862741</s:v>
      </s:c>
      <s:c r="K26" s="21">
        <s:f>IF('Company Data'!K25&lt;=0,"n/m",('Company Data'!K10-'Company Data'!K25)/'Company Data'!K25)</s:f>
        <s:v>0.0217107593341268</s:v>
      </s:c>
      <s:c r="L26" s="21">
        <s:f>IF('Company Data'!L25&lt;=0,"n/m",('Company Data'!L10-'Company Data'!L25)/'Company Data'!L25)</s:f>
        <s:v>0.21852237252861603</s:v>
      </s:c>
      <s:c r="M26" s="21">
        <s:f>IF('Company Data'!M25&lt;=0,"n/m",('Company Data'!M10-'Company Data'!M25)/'Company Data'!M25)</s:f>
        <s:v>0.07887544446213449</s:v>
      </s:c>
    </s:row>
    <s:row r="27" ht="24" customHeight="1">
      <s:c r="A27" s="2" t="inlineStr">
        <s:is>
          <s:t>EBIT</s:t>
        </s:is>
      </s:c>
      <s:c r="B27" s="21">
        <s:f>IF('Company Data'!B26&lt;=0,"n/m",('Company Data'!B11-'Company Data'!B26)/'Company Data'!B26)</s:f>
        <s:v>0.11127182560181836</s:v>
      </s:c>
      <s:c r="C27" s="21">
        <s:f>IF('Company Data'!C26&lt;=0,"n/m",('Company Data'!C11-'Company Data'!C26)/'Company Data'!C26)</s:f>
        <s:v>-0.08110014104372355</s:v>
      </s:c>
      <s:c r="D27" s="21">
        <s:f>IF('Company Data'!D26&lt;=0,"n/m",('Company Data'!D11-'Company Data'!D26)/'Company Data'!D26)</s:f>
        <s:v>0.10727621354324351</s:v>
      </s:c>
      <s:c r="E27" s="21">
        <s:f>IF('Company Data'!E26&lt;=0,"n/m",('Company Data'!E11-'Company Data'!E26)/'Company Data'!E26)</s:f>
        <s:v>-0.03281631150181801</s:v>
      </s:c>
      <s:c r="F27" s="21">
        <s:f>IF('Company Data'!F26&lt;=0,"n/m",('Company Data'!F11-'Company Data'!F26)/'Company Data'!F26)</s:f>
        <s:v>-0.03303529411764706</s:v>
      </s:c>
      <s:c r="G27" s="21">
        <s:f>IF('Company Data'!G26&lt;=0,"n/m",('Company Data'!G11-'Company Data'!G26)/'Company Data'!G26)</s:f>
        <s:v>0.025661804430037818</s:v>
      </s:c>
      <s:c r="H27" s="21">
        <s:f>IF('Company Data'!H26&lt;=0,"n/m",('Company Data'!H11-'Company Data'!H26)/'Company Data'!H26)</s:f>
        <s:v>0.1973951973951974</s:v>
      </s:c>
      <s:c r="I27" s="21">
        <s:f>IF('Company Data'!I26&lt;=0,"n/m",('Company Data'!I11-'Company Data'!I26)/'Company Data'!I26)</s:f>
        <s:v>-0.11659541391371939</s:v>
      </s:c>
      <s:c r="J27" s="21">
        <s:f>IF('Company Data'!J26&lt;=0,"n/m",('Company Data'!J11-'Company Data'!J26)/'Company Data'!J26)</s:f>
        <s:v>0.008541330549492266</s:v>
      </s:c>
      <s:c r="K27" s="21">
        <s:f>IF('Company Data'!K26&lt;=0,"n/m",('Company Data'!K11-'Company Data'!K26)/'Company Data'!K26)</s:f>
        <s:v>-0.44864053799985537</s:v>
      </s:c>
      <s:c r="L27" s="21">
        <s:f>IF('Company Data'!L26&lt;=0,"n/m",('Company Data'!L11-'Company Data'!L26)/'Company Data'!L26)</s:f>
        <s:v>0.07911259941398074</s:v>
      </s:c>
      <s:c r="M27" s="21">
        <s:f>IF('Company Data'!M26&lt;=0,"n/m",('Company Data'!M11-'Company Data'!M26)/'Company Data'!M26)</s:f>
        <s:v>0.26993524514338574</s:v>
      </s:c>
    </s:row>
    <s:row r="28" ht="24" customHeight="1">
      <s:c r="A28" s="2" t="inlineStr">
        <s:is>
          <s:t>Net PP&amp;E</s:t>
        </s:is>
      </s:c>
      <s:c r="B28" s="21">
        <s:f>IF('Company Data'!B27&lt;=0,"n/m",('Company Data'!B12-'Company Data'!B27)/'Company Data'!B27)</s:f>
        <s:v>0.12348966386073412</s:v>
      </s:c>
      <s:c r="C28" s="21">
        <s:f>IF('Company Data'!C27&lt;=0,"n/m",('Company Data'!C12-'Company Data'!C27)/'Company Data'!C27)</s:f>
        <s:v>0.018132390920212044</s:v>
      </s:c>
      <s:c r="D28" s="21">
        <s:f>IF('Company Data'!D27&lt;=0,"n/m",('Company Data'!D12-'Company Data'!D27)/'Company Data'!D27)</s:f>
        <s:v>0.09431577616986318</s:v>
      </s:c>
      <s:c r="E28" s="21">
        <s:f>IF('Company Data'!E27&lt;=0,"n/m",('Company Data'!E12-'Company Data'!E27)/'Company Data'!E27)</s:f>
        <s:v>0.0547118490394968</s:v>
      </s:c>
      <s:c r="F28" s="21">
        <s:f>IF('Company Data'!F27&lt;=0,"n/m",('Company Data'!F12-'Company Data'!F27)/'Company Data'!F27)</s:f>
        <s:v>0.059755926497404965</s:v>
      </s:c>
      <s:c r="G28" s="21">
        <s:f>IF('Company Data'!G27&lt;=0,"n/m",('Company Data'!G12-'Company Data'!G27)/'Company Data'!G27)</s:f>
        <s:v>0.01246684350132626</s:v>
      </s:c>
      <s:c r="H28" s="21">
        <s:f>IF('Company Data'!H27&lt;=0,"n/m",('Company Data'!H12-'Company Data'!H27)/'Company Data'!H27)</s:f>
        <s:v>-0.06697078520819179</s:v>
      </s:c>
      <s:c r="I28" s="21">
        <s:f>IF('Company Data'!I27&lt;=0,"n/m",('Company Data'!I12-'Company Data'!I27)/'Company Data'!I27)</s:f>
        <s:v>0.07196330158325635</s:v>
      </s:c>
      <s:c r="J28" s="21">
        <s:f>IF('Company Data'!J27&lt;=0,"n/m",('Company Data'!J12-'Company Data'!J27)/'Company Data'!J27)</s:f>
        <s:v>0.061221073774950834</s:v>
      </s:c>
      <s:c r="K28" s="21">
        <s:f>IF('Company Data'!K27&lt;=0,"n/m",('Company Data'!K12-'Company Data'!K27)/'Company Data'!K27)</s:f>
        <s:v>-0.007937966877788733</s:v>
      </s:c>
      <s:c r="L28" s="21">
        <s:f>IF('Company Data'!L27&lt;=0,"n/m",('Company Data'!L12-'Company Data'!L27)/'Company Data'!L27)</s:f>
        <s:v>0.2897025171624714</s:v>
      </s:c>
      <s:c r="M28" s="21">
        <s:f>IF('Company Data'!M27&lt;=0,"n/m",('Company Data'!M12-'Company Data'!M27)/'Company Data'!M27)</s:f>
        <s:v>0.03951264721173625</s:v>
      </s:c>
    </s:row>
    <s:row r="29" ht="24" customHeight="1">
      <s:c r="A29" s="2" t="inlineStr">
        <s:is>
          <s:t>Current assets</s:t>
        </s:is>
      </s:c>
      <s:c r="B29" s="21">
        <s:f>IF('Company Data'!B28&lt;=0,"n/m",('Company Data'!B13-'Company Data'!B28)/'Company Data'!B28)</s:f>
        <s:v>0.06816179616904529</s:v>
      </s:c>
      <s:c r="C29" s="21">
        <s:f>IF('Company Data'!C28&lt;=0,"n/m",('Company Data'!C13-'Company Data'!C28)/'Company Data'!C28)</s:f>
        <s:v>0.028323224015626605</s:v>
      </s:c>
      <s:c r="D29" s="21">
        <s:f>IF('Company Data'!D28&lt;=0,"n/m",('Company Data'!D13-'Company Data'!D28)/'Company Data'!D28)</s:f>
        <s:v>0.12071482800911056</s:v>
      </s:c>
      <s:c r="E29" s="21">
        <s:f>IF('Company Data'!E28&lt;=0,"n/m",('Company Data'!E13-'Company Data'!E28)/'Company Data'!E28)</s:f>
        <s:v>0.08547170406842787</s:v>
      </s:c>
      <s:c r="F29" s="21">
        <s:f>IF('Company Data'!F28&lt;=0,"n/m",('Company Data'!F13-'Company Data'!F28)/'Company Data'!F28)</s:f>
        <s:v>0.02932508104921898</s:v>
      </s:c>
      <s:c r="G29" s="21">
        <s:f>IF('Company Data'!G28&lt;=0,"n/m",('Company Data'!G13-'Company Data'!G28)/'Company Data'!G28)</s:f>
        <s:v>0.05312045201609451</s:v>
      </s:c>
      <s:c r="H29" s="21">
        <s:f>IF('Company Data'!H28&lt;=0,"n/m",('Company Data'!H13-'Company Data'!H28)/'Company Data'!H28)</s:f>
        <s:v>0.19413778512905336</s:v>
      </s:c>
      <s:c r="I29" s="21">
        <s:f>IF('Company Data'!I28&lt;=0,"n/m",('Company Data'!I13-'Company Data'!I28)/'Company Data'!I28)</s:f>
        <s:v>0.08220398048478278</s:v>
      </s:c>
      <s:c r="J29" s="21">
        <s:f>IF('Company Data'!J28&lt;=0,"n/m",('Company Data'!J13-'Company Data'!J28)/'Company Data'!J28)</s:f>
        <s:v>0.03213610586011342</s:v>
      </s:c>
      <s:c r="K29" s="21">
        <s:f>IF('Company Data'!K28&lt;=0,"n/m",('Company Data'!K13-'Company Data'!K28)/'Company Data'!K28)</s:f>
        <s:v>0.07811724158074598</s:v>
      </s:c>
      <s:c r="L29" s="21">
        <s:f>IF('Company Data'!L28&lt;=0,"n/m",('Company Data'!L13-'Company Data'!L28)/'Company Data'!L28)</s:f>
        <s:v>0.09032602886157136</s:v>
      </s:c>
      <s:c r="M29" s="21">
        <s:f>IF('Company Data'!M28&lt;=0,"n/m",('Company Data'!M13-'Company Data'!M28)/'Company Data'!M28)</s:f>
        <s:v>0.11418122714343763</s:v>
      </s:c>
    </s:row>
    <s:row r="30" ht="24" customHeight="1">
      <s:c r="A30" s="2" t="inlineStr">
        <s:is>
          <s:t>Current liabilities</s:t>
        </s:is>
      </s:c>
      <s:c r="B30" s="21">
        <s:f>IF('Company Data'!B29&lt;=0,"n/m",('Company Data'!B14-'Company Data'!B29)/'Company Data'!B29)</s:f>
        <s:v>0.11269982605814628</s:v>
      </s:c>
      <s:c r="C30" s="21">
        <s:f>IF('Company Data'!C29&lt;=0,"n/m",('Company Data'!C14-'Company Data'!C29)/'Company Data'!C29)</s:f>
        <s:v>0.020722150103370356</s:v>
      </s:c>
      <s:c r="D30" s="21">
        <s:f>IF('Company Data'!D29&lt;=0,"n/m",('Company Data'!D14-'Company Data'!D29)/'Company Data'!D29)</s:f>
        <s:v>0.0463568689375141</s:v>
      </s:c>
      <s:c r="E30" s="21">
        <s:f>IF('Company Data'!E29&lt;=0,"n/m",('Company Data'!E14-'Company Data'!E29)/'Company Data'!E29)</s:f>
        <s:v>0.1312933952060291</s:v>
      </s:c>
      <s:c r="F30" s="21">
        <s:f>IF('Company Data'!F29&lt;=0,"n/m",('Company Data'!F14-'Company Data'!F29)/'Company Data'!F29)</s:f>
        <s:v>0.03763928133496828</s:v>
      </s:c>
      <s:c r="G30" s="21">
        <s:f>IF('Company Data'!G29&lt;=0,"n/m",('Company Data'!G14-'Company Data'!G29)/'Company Data'!G29)</s:f>
        <s:v>0.18748816960060571</s:v>
      </s:c>
      <s:c r="H30" s="21">
        <s:f>IF('Company Data'!H29&lt;=0,"n/m",('Company Data'!H14-'Company Data'!H29)/'Company Data'!H29)</s:f>
        <s:v>-0.1571547388015367</s:v>
      </s:c>
      <s:c r="I30" s="21">
        <s:f>IF('Company Data'!I29&lt;=0,"n/m",('Company Data'!I14-'Company Data'!I29)/'Company Data'!I29)</s:f>
        <s:v>0.03893962455606291</s:v>
      </s:c>
      <s:c r="J30" s="21">
        <s:f>IF('Company Data'!J29&lt;=0,"n/m",('Company Data'!J14-'Company Data'!J29)/'Company Data'!J29)</s:f>
        <s:v>0.07310444284208775</s:v>
      </s:c>
      <s:c r="K30" s="21">
        <s:f>IF('Company Data'!K29&lt;=0,"n/m",('Company Data'!K14-'Company Data'!K29)/'Company Data'!K29)</s:f>
        <s:v>0.12573318632855568</s:v>
      </s:c>
      <s:c r="L30" s="21">
        <s:f>IF('Company Data'!L29&lt;=0,"n/m",('Company Data'!L14-'Company Data'!L29)/'Company Data'!L29)</s:f>
        <s:v>0.1946414499605989</s:v>
      </s:c>
      <s:c r="M30" s="21">
        <s:f>IF('Company Data'!M29&lt;=0,"n/m",('Company Data'!M14-'Company Data'!M29)/'Company Data'!M29)</s:f>
        <s:v>0.03577052868391451</s:v>
      </s:c>
    </s:row>
    <s:row r="31" ht="24" customHeight="1">
      <s:c r="A31" s="2" t="inlineStr">
        <s:is>
          <s:t>Stockholders’ equity</s:t>
        </s:is>
      </s:c>
      <s:c r="B31" s="21">
        <s:f>IF('Company Data'!B30&lt;=0,"n/m",('Company Data'!B15-'Company Data'!B30)/'Company Data'!B30)</s:f>
        <s:v>0.09453594541439135</s:v>
      </s:c>
      <s:c r="C31" s="21">
        <s:f>IF('Company Data'!C30&lt;=0,"n/m",('Company Data'!C15-'Company Data'!C30)/'Company Data'!C30)</s:f>
        <s:v>0.1022091913268785</s:v>
      </s:c>
      <s:c r="D31" s="21">
        <s:f>IF('Company Data'!D30&lt;=0,"n/m",('Company Data'!D15-'Company Data'!D30)/'Company Data'!D30)</s:f>
        <s:v>0.23461180255693845</s:v>
      </s:c>
      <s:c r="E31" s="21">
        <s:f>IF('Company Data'!E30&lt;=0,"n/m",('Company Data'!E15-'Company Data'!E30)/'Company Data'!E30)</s:f>
        <s:v>0.9296686746987952</s:v>
      </s:c>
      <s:c r="F31" s="21" t="str">
        <s:f>IF('Company Data'!F30&lt;=0,"n/m",('Company Data'!F15-'Company Data'!F30)/'Company Data'!F30)</s:f>
        <s:v>n/m</s:v>
      </s:c>
      <s:c r="G31" s="21">
        <s:f>IF('Company Data'!G30&lt;=0,"n/m",('Company Data'!G15-'Company Data'!G30)/'Company Data'!G30)</s:f>
        <s:v>0.12502838113978657</s:v>
      </s:c>
      <s:c r="H31" s="21">
        <s:f>IF('Company Data'!H30&lt;=0,"n/m",('Company Data'!H15-'Company Data'!H30)/'Company Data'!H30)</s:f>
        <s:v>0.2942146765368523</s:v>
      </s:c>
      <s:c r="I31" s="21">
        <s:f>IF('Company Data'!I30&lt;=0,"n/m",('Company Data'!I15-'Company Data'!I30)/'Company Data'!I30)</s:f>
        <s:v>0.1310902943295826</s:v>
      </s:c>
      <s:c r="J31" s="21">
        <s:f>IF('Company Data'!J30&lt;=0,"n/m",('Company Data'!J15-'Company Data'!J30)/'Company Data'!J30)</s:f>
        <s:v>0.039779281704222104</s:v>
      </s:c>
      <s:c r="K31" s="21" t="str">
        <s:f>IF('Company Data'!K30&lt;=0,"n/m",('Company Data'!K15-'Company Data'!K30)/'Company Data'!K30)</s:f>
        <s:v>n/m</s:v>
      </s:c>
      <s:c r="L31" s="21" t="str">
        <s:f>IF('Company Data'!L30&lt;=0,"n/m",('Company Data'!L15-'Company Data'!L30)/'Company Data'!L30)</s:f>
        <s:v>n/m</s:v>
      </s:c>
      <s:c r="M31" s="21">
        <s:f>IF('Company Data'!M30&lt;=0,"n/m",('Company Data'!M15-'Company Data'!M30)/'Company Data'!M30)</s:f>
        <s:v>0.3635650297521742</s:v>
      </s:c>
    </s:row>
    <s:row r="32" ht="24" customHeight="1">
      <s:c r="A32" s="2" t="inlineStr">
        <s:is>
          <s:t>Pretax income</s:t>
        </s:is>
      </s:c>
      <s:c r="B32" s="21">
        <s:f>IF('Company Data'!B31&lt;=0,"n/m",('Company Data'!B16-'Company Data'!B31)/'Company Data'!B31)</s:f>
        <s:v>0.12011098863506785</s:v>
      </s:c>
      <s:c r="C32" s="21">
        <s:f>IF('Company Data'!C31&lt;=0,"n/m",('Company Data'!C16-'Company Data'!C31)/'Company Data'!C31)</s:f>
        <s:v>-0.09389849838433757</s:v>
      </s:c>
      <s:c r="D32" s="21">
        <s:f>IF('Company Data'!D31&lt;=0,"n/m",('Company Data'!D16-'Company Data'!D31)/'Company Data'!D31)</s:f>
        <s:v>0.1106776180698152</s:v>
      </s:c>
      <s:c r="E32" s="21">
        <s:f>IF('Company Data'!E31&lt;=0,"n/m",('Company Data'!E16-'Company Data'!E31)/'Company Data'!E31)</s:f>
        <s:v>-0.04143048541688138</s:v>
      </s:c>
      <s:c r="F32" s="21">
        <s:f>IF('Company Data'!F31&lt;=0,"n/m",('Company Data'!F16-'Company Data'!F31)/'Company Data'!F31)</s:f>
        <s:v>-0.0443570414071889</s:v>
      </s:c>
      <s:c r="G32" s="21">
        <s:f>IF('Company Data'!G31&lt;=0,"n/m",('Company Data'!G16-'Company Data'!G31)/'Company Data'!G31)</s:f>
        <s:v>0.003861003861003861</s:v>
      </s:c>
      <s:c r="H32" s="21">
        <s:f>IF('Company Data'!H31&lt;=0,"n/m",('Company Data'!H16-'Company Data'!H31)/'Company Data'!H31)</s:f>
        <s:v>0.22252789240409598</s:v>
      </s:c>
      <s:c r="I32" s="21">
        <s:f>IF('Company Data'!I31&lt;=0,"n/m",('Company Data'!I16-'Company Data'!I31)/'Company Data'!I31)</s:f>
        <s:v>-0.14247446844131928</s:v>
      </s:c>
      <s:c r="J32" s="21">
        <s:f>IF('Company Data'!J31&lt;=0,"n/m",('Company Data'!J16-'Company Data'!J31)/'Company Data'!J31)</s:f>
        <s:v>0.010413051023950017</s:v>
      </s:c>
      <s:c r="K32" s="21">
        <s:f>IF('Company Data'!K31&lt;=0,"n/m",('Company Data'!K16-'Company Data'!K31)/'Company Data'!K31)</s:f>
        <s:v>-0.4954724726336124</s:v>
      </s:c>
      <s:c r="L32" s="21">
        <s:f>IF('Company Data'!L31&lt;=0,"n/m",('Company Data'!L16-'Company Data'!L31)/'Company Data'!L31)</s:f>
        <s:v>0.0931578947368421</s:v>
      </s:c>
      <s:c r="M32" s="21">
        <s:f>IF('Company Data'!M31&lt;=0,"n/m",('Company Data'!M16-'Company Data'!M31)/'Company Data'!M31)</s:f>
        <s:v>0.3278231000429369</s:v>
      </s:c>
    </s:row>
    <s:row r="33" ht="24" customHeight="1">
      <s:c r="A33" s="2" t="inlineStr">
        <s:is>
          <s:t>Tax provision</s:t>
        </s:is>
      </s:c>
      <s:c r="B33" s="21">
        <s:f>IF('Company Data'!B32&lt;=0,"n/m",('Company Data'!B17-'Company Data'!B32)/'Company Data'!B32)</s:f>
        <s:v>0.1701885565669701</s:v>
      </s:c>
      <s:c r="C33" s="21">
        <s:f>IF('Company Data'!C32&lt;=0,"n/m",('Company Data'!C17-'Company Data'!C32)/'Company Data'!C32)</s:f>
        <s:v>-0.09230769230769231</s:v>
      </s:c>
      <s:c r="D33" s="21">
        <s:f>IF('Company Data'!D32&lt;=0,"n/m",('Company Data'!D17-'Company Data'!D32)/'Company Data'!D32)</s:f>
        <s:v>0.1458069953645175</s:v>
      </s:c>
      <s:c r="E33" s="21">
        <s:f>IF('Company Data'!E32&lt;=0,"n/m",('Company Data'!E17-'Company Data'!E32)/'Company Data'!E32)</s:f>
        <s:v>-0.033478260869565214</s:v>
      </s:c>
      <s:c r="F33" s="21">
        <s:f>IF('Company Data'!F32&lt;=0,"n/m",('Company Data'!F17-'Company Data'!F32)/'Company Data'!F32)</s:f>
        <s:v>-0.046903460837887066</s:v>
      </s:c>
      <s:c r="G33" s="21">
        <s:f>IF('Company Data'!G32&lt;=0,"n/m",('Company Data'!G17-'Company Data'!G32)/'Company Data'!G32)</s:f>
        <s:v>0.1891891891891892</s:v>
      </s:c>
      <s:c r="H33" s="21">
        <s:f>IF('Company Data'!H32&lt;=0,"n/m",('Company Data'!H17-'Company Data'!H32)/'Company Data'!H32)</s:f>
        <s:v>0.17398440705785803</s:v>
      </s:c>
      <s:c r="I33" s="21">
        <s:f>IF('Company Data'!I32&lt;=0,"n/m",('Company Data'!I17-'Company Data'!I32)/'Company Data'!I32)</s:f>
        <s:v>-0.15991379310344828</s:v>
      </s:c>
      <s:c r="J33" s="21">
        <s:f>IF('Company Data'!J32&lt;=0,"n/m",('Company Data'!J17-'Company Data'!J32)/'Company Data'!J32)</s:f>
        <s:v>0.031935641150658216</s:v>
      </s:c>
      <s:c r="K33" s="21">
        <s:f>IF('Company Data'!K32&lt;=0,"n/m",('Company Data'!K17-'Company Data'!K32)/'Company Data'!K32)</s:f>
        <s:v>-0.4611115712747453</s:v>
      </s:c>
      <s:c r="L33" s="21">
        <s:f>IF('Company Data'!L32&lt;=0,"n/m",('Company Data'!L17-'Company Data'!L32)/'Company Data'!L32)</s:f>
        <s:v>0.25120772946859904</s:v>
      </s:c>
      <s:c r="M33" s="21">
        <s:f>IF('Company Data'!M32&lt;=0,"n/m",('Company Data'!M17-'Company Data'!M32)/'Company Data'!M32)</s:f>
        <s:v>-0.017485428809325562</s:v>
      </s:c>
    </s:row>
    <s:row r="34" ht="24" customHeight="1">
      <s:c r="A34" s="2" t="inlineStr">
        <s:is>
          <s:t>Net working capital</s:t>
        </s:is>
      </s:c>
      <s:c r="B34" s="21" t="str">
        <s:f>IF(('Company Data'!B28-'Company Data'!B29)&lt;=0,"n/m",(('Company Data'!B13-'Company Data'!B14)-('Company Data'!B28-'Company Data'!B29))/('Company Data'!B28-'Company Data'!B29))</s:f>
        <s:v>n/m</s:v>
      </s:c>
      <s:c r="C34" s="21" t="str">
        <s:f>IF(('Company Data'!C28-'Company Data'!C29)&lt;=0,"n/m",(('Company Data'!C13-'Company Data'!C14)-('Company Data'!C28-'Company Data'!C29))/('Company Data'!C28-'Company Data'!C29))</s:f>
        <s:v>n/m</s:v>
      </s:c>
      <s:c r="D34" s="21" t="str">
        <s:f>IF(('Company Data'!D28-'Company Data'!D29)&lt;=0,"n/m",(('Company Data'!D13-'Company Data'!D14)-('Company Data'!D28-'Company Data'!D29))/('Company Data'!D28-'Company Data'!D29))</s:f>
        <s:v>n/m</s:v>
      </s:c>
      <s:c r="E34" s="21">
        <s:f>IF(('Company Data'!E28-'Company Data'!E29)&lt;=0,"n/m",(('Company Data'!E13-'Company Data'!E14)-('Company Data'!E28-'Company Data'!E29))/('Company Data'!E28-'Company Data'!E29))</s:f>
        <s:v>-0.34910655195234946</s:v>
      </s:c>
      <s:c r="F34" s="21">
        <s:f>IF(('Company Data'!F28-'Company Data'!F29)&lt;=0,"n/m",(('Company Data'!F13-'Company Data'!F14)-('Company Data'!F28-'Company Data'!F29))/('Company Data'!F28-'Company Data'!F29))</s:f>
        <s:v>-0.06808244846970643</s:v>
      </s:c>
      <s:c r="G34" s="21">
        <s:f>IF(('Company Data'!G28-'Company Data'!G29)&lt;=0,"n/m",(('Company Data'!G13-'Company Data'!G14)-('Company Data'!G28-'Company Data'!G29))/('Company Data'!G28-'Company Data'!G29))</s:f>
        <s:v>-0.0578305720537668</s:v>
      </s:c>
      <s:c r="H34" s="21">
        <s:f>IF(('Company Data'!H28-'Company Data'!H29)&lt;=0,"n/m",(('Company Data'!H13-'Company Data'!H14)-('Company Data'!H28-'Company Data'!H29))/('Company Data'!H28-'Company Data'!H29))</s:f>
        <s:v>12.052139037433156</s:v>
      </s:c>
      <s:c r="I34" s="21" t="str">
        <s:f>IF(('Company Data'!I28-'Company Data'!I29)&lt;=0,"n/m",(('Company Data'!I13-'Company Data'!I14)-('Company Data'!I28-'Company Data'!I29))/('Company Data'!I28-'Company Data'!I29))</s:f>
        <s:v>n/m</s:v>
      </s:c>
      <s:c r="J34" s="21" t="str">
        <s:f>IF(('Company Data'!J28-'Company Data'!J29)&lt;=0,"n/m",(('Company Data'!J13-'Company Data'!J14)-('Company Data'!J28-'Company Data'!J29))/('Company Data'!J28-'Company Data'!J29))</s:f>
        <s:v>n/m</s:v>
      </s:c>
      <s:c r="K34" s="21" t="str">
        <s:f>IF(('Company Data'!K28-'Company Data'!K29)&lt;=0,"n/m",(('Company Data'!K13-'Company Data'!K14)-('Company Data'!K28-'Company Data'!K29))/('Company Data'!K28-'Company Data'!K29))</s:f>
        <s:v>n/m</s:v>
      </s:c>
      <s:c r="L34" s="21">
        <s:f>IF(('Company Data'!L28-'Company Data'!L29)&lt;=0,"n/m",(('Company Data'!L13-'Company Data'!L14)-('Company Data'!L28-'Company Data'!L29))/('Company Data'!L28-'Company Data'!L29))</s:f>
        <s:v>-0.12956810631229235</s:v>
      </s:c>
      <s:c r="M34" s="21" t="str">
        <s:f>IF(('Company Data'!M28-'Company Data'!M29)&lt;=0,"n/m",(('Company Data'!M13-'Company Data'!M14)-('Company Data'!M28-'Company Data'!M29))/('Company Data'!M28-'Company Data'!M29))</s:f>
        <s:v>n/m</s:v>
      </s:c>
    </s:row>
  </s:sheetData>
  <s:mergeCells count="1">
    <s:mergeCell ref="A1:M1"/>
  </s:mergeCells>
  <s:pageMargins left="0.25" right="0.25" top="0.3" bottom="0.3" header="0.5" footer="0.5"/>
  <s:pageSetup orientation="landscape" paperSize="1" fitToHeight="0" fitToWidth="1"/>
  <s:rowBreaks count="1" manualBreakCount="1">
    <s:brk id="20" min="0" max="16383" man="1"/>
  </s:rowBreaks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1"/>
  </s:sheetPr>
  <s:dimension ref="A1:M126"/>
  <s:sheetViews>
    <s:sheetView showGridLines="0" zoomScale="85" workbookViewId="0">
      <s:pane xSplit="1" ySplit="5" topLeftCell="B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9" customWidth="1" min="1" max="1"/>
    <s:col width="12.5" customWidth="1" min="2" max="2"/>
    <s:col width="12.5" customWidth="1" min="3" max="3"/>
    <s:col width="12.5" customWidth="1" min="4" max="4"/>
    <s:col width="12.5" customWidth="1" min="5" max="5"/>
    <s:col width="12.5" customWidth="1" min="6" max="6"/>
    <s:col width="12.5" customWidth="1" min="7" max="7"/>
    <s:col width="12.5" customWidth="1" min="8" max="8"/>
    <s:col width="12.5" customWidth="1" min="9" max="9"/>
    <s:col width="12.5" customWidth="1" min="10" max="10"/>
    <s:col width="12.5" customWidth="1" min="11" max="11"/>
    <s:col width="12.5" customWidth="1" min="12" max="12"/>
    <s:col width="12.5" customWidth="1" min="13" max="13"/>
  </s:cols>
  <s:sheetData>
    <s:row r="1" ht="28" customHeight="1">
      <s:c r="A1" s="1" t="inlineStr">
        <s:is>
          <s:t>Module 2 — financial ratios</s:t>
        </s:is>
      </s:c>
    </s:row>
    <s:row r="2" ht="8" customHeight="1">
      <s:c r="A2" s="2" t="n"/>
      <s:c r="B2" s="3" t="n"/>
      <s:c r="C2" s="3" t="n"/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</s:row>
    <s:row r="3" ht="36" customHeight="1">
      <s:c r="A3" s="2" t="inlineStr">
        <s:is>
          <s:t>Company</s:t>
        </s:is>
      </s:c>
      <s:c r="B3" s="4" t="inlineStr">
        <s:is>
          <s:t>Walmart</s:t>
        </s:is>
      </s:c>
      <s:c r="C3" s="4" t="inlineStr">
        <s:is>
          <s:t>Target</s:t>
        </s:is>
      </s:c>
      <s:c r="D3" s="4" t="inlineStr">
        <s:is>
          <s:t>Costco</s:t>
        </s:is>
      </s:c>
      <s:c r="E3" s="4" t="inlineStr">
        <s:is>
          <s:t>Home Depot</s:t>
        </s:is>
      </s:c>
      <s:c r="F3" s="4" t="inlineStr">
        <s:is>
          <s:t>Lowe’s</s:t>
        </s:is>
      </s:c>
      <s:c r="G3" s="4" t="inlineStr">
        <s:is>
          <s:t>Nike</s:t>
        </s:is>
      </s:c>
      <s:c r="H3" s="4" t="inlineStr">
        <s:is>
          <s:t>Coca-Cola</s:t>
        </s:is>
      </s:c>
      <s:c r="I3" s="4" t="inlineStr">
        <s:is>
          <s:t>PepsiCo</s:t>
        </s:is>
      </s:c>
      <s:c r="J3" s="4" t="inlineStr">
        <s:is>
          <s:t>Procter &amp;
Gamble</s:t>
        </s:is>
      </s:c>
      <s:c r="K3" s="4" t="inlineStr">
        <s:is>
          <s:t>Starbucks</s:t>
        </s:is>
      </s:c>
      <s:c r="L3" s="4" t="inlineStr">
        <s:is>
          <s:t>YUM! Brands</s:t>
        </s:is>
      </s:c>
      <s:c r="M3" s="4" t="inlineStr">
        <s:is>
          <s:t>Delta Air
Lines</s:t>
        </s:is>
      </s:c>
    </s:row>
    <s:row r="4" ht="20" customHeight="1">
      <s:c r="A4" s="5" t="inlineStr">
        <s:is>
          <s:t>Ticker</s:t>
        </s:is>
      </s:c>
      <s:c r="B4" s="6" t="inlineStr">
        <s:is>
          <s:t>WMT</s:t>
        </s:is>
      </s:c>
      <s:c r="C4" s="6" t="inlineStr">
        <s:is>
          <s:t>TGT</s:t>
        </s:is>
      </s:c>
      <s:c r="D4" s="6" t="inlineStr">
        <s:is>
          <s:t>COST</s:t>
        </s:is>
      </s:c>
      <s:c r="E4" s="6" t="inlineStr">
        <s:is>
          <s:t>HD</s:t>
        </s:is>
      </s:c>
      <s:c r="F4" s="6" t="inlineStr">
        <s:is>
          <s:t>LOW</s:t>
        </s:is>
      </s:c>
      <s:c r="G4" s="6" t="inlineStr">
        <s:is>
          <s:t>NKE</s:t>
        </s:is>
      </s:c>
      <s:c r="H4" s="6" t="inlineStr">
        <s:is>
          <s:t>KO</s:t>
        </s:is>
      </s:c>
      <s:c r="I4" s="6" t="inlineStr">
        <s:is>
          <s:t>PEP</s:t>
        </s:is>
      </s:c>
      <s:c r="J4" s="6" t="inlineStr">
        <s:is>
          <s:t>PG</s:t>
        </s:is>
      </s:c>
      <s:c r="K4" s="6" t="inlineStr">
        <s:is>
          <s:t>SBUX</s:t>
        </s:is>
      </s:c>
      <s:c r="L4" s="6" t="inlineStr">
        <s:is>
          <s:t>YUM</s:t>
        </s:is>
      </s:c>
      <s:c r="M4" s="6" t="inlineStr">
        <s:is>
          <s:t>DAL</s:t>
        </s:is>
      </s:c>
    </s:row>
    <s:row r="5" ht="24" customHeight="1">
      <s:c r="A5" s="7" t="inlineStr">
        <s:is>
          <s:t>Current annual period</s:t>
        </s:is>
      </s:c>
      <s:c r="B5" s="17" t="n">
        <s:v>46053</s:v>
      </s:c>
      <s:c r="C5" s="17" t="n">
        <s:v>46053</s:v>
      </s:c>
      <s:c r="D5" s="17" t="n">
        <s:v>45900</s:v>
      </s:c>
      <s:c r="E5" s="17" t="n">
        <s:v>46053</s:v>
      </s:c>
      <s:c r="F5" s="17" t="n">
        <s:v>46053</s:v>
      </s:c>
      <s:c r="G5" s="17" t="n">
        <s:v>46173</s:v>
      </s:c>
      <s:c r="H5" s="17" t="n">
        <s:v>46022</s:v>
      </s:c>
      <s:c r="I5" s="17" t="n">
        <s:v>46022</s:v>
      </s:c>
      <s:c r="J5" s="17" t="n">
        <s:v>46203</s:v>
      </s:c>
      <s:c r="K5" s="17" t="n">
        <s:v>45930</s:v>
      </s:c>
      <s:c r="L5" s="17" t="n">
        <s:v>46022</s:v>
      </s:c>
      <s:c r="M5" s="17" t="n">
        <s:v>46022</s:v>
      </s:c>
    </s:row>
    <s:row r="6" ht="24" customHeight="1">
      <s:c r="A6" s="26" t="inlineStr">
        <s:is>
          <s:t>Profitability</s:t>
        </s:is>
      </s:c>
      <s:c r="B6" s="3" t="n"/>
      <s:c r="C6" s="3" t="n"/>
      <s:c r="D6" s="3" t="n"/>
      <s:c r="E6" s="3" t="n"/>
      <s:c r="F6" s="3" t="n"/>
      <s:c r="G6" s="3" t="n"/>
      <s:c r="H6" s="3" t="n"/>
      <s:c r="I6" s="3" t="n"/>
      <s:c r="J6" s="3" t="n"/>
      <s:c r="K6" s="3" t="n"/>
      <s:c r="L6" s="3" t="n"/>
      <s:c r="M6" s="3" t="n"/>
    </s:row>
    <s:row r="7" ht="24" customHeight="1">
      <s:c r="A7" s="2" t="inlineStr">
        <s:is>
          <s:t>Gross margin</s:t>
        </s:is>
      </s:c>
      <s:c r="B7" s="21">
        <s:f>IF(COUNT(B84,B77)&lt;2,"n/a",IF(B77=0,"n/m",B84/B77))</s:f>
        <s:v>0.24926699786724774</s:v>
      </s:c>
      <s:c r="C7" s="21">
        <s:f>IF(COUNT(C84,C77)&lt;2,"n/a",IF(C77=0,"n/m",C84/C77))</s:f>
        <s:v>0.2793376598587517</s:v>
      </s:c>
      <s:c r="D7" s="21">
        <s:f>IF(COUNT(D84,D77)&lt;2,"n/a",IF(D77=0,"n/m",D84/D77))</s:f>
        <s:v>0.12843206714262356</s:v>
      </s:c>
      <s:c r="E7" s="21">
        <s:f>IF(COUNT(E84,E77)&lt;2,"n/a",IF(E77=0,"n/m",E84/E77))</s:f>
        <s:v>0.33315521334928316</s:v>
      </s:c>
      <s:c r="F7" s="21">
        <s:f>IF(COUNT(F84,F77)&lt;2,"n/a",IF(F77=0,"n/m",F84/F77))</s:f>
        <s:v>0.334758825301903</s:v>
      </s:c>
      <s:c r="G7" s="21">
        <s:f>IF(COUNT(G84,G77)&lt;2,"n/a",IF(G77=0,"n/m",G84/G77))</s:f>
        <s:v>0.42913487650329757</s:v>
      </s:c>
      <s:c r="H7" s="21">
        <s:f>IF(COUNT(H84,H77)&lt;2,"n/a",IF(H77=0,"n/m",H84/H77))</s:f>
        <s:v>0.6162574831563797</s:v>
      </s:c>
      <s:c r="I7" s="21">
        <s:f>IF(COUNT(I84,I77)&lt;2,"n/a",IF(I77=0,"n/m",I84/I77))</s:f>
        <s:v>0.541485227575193</s:v>
      </s:c>
      <s:c r="J7" s="21">
        <s:f>IF(COUNT(J84,J77)&lt;2,"n/a",IF(J77=0,"n/m",J84/J77))</s:f>
        <s:v>0.5017694641051568</s:v>
      </s:c>
      <s:c r="K7" s="21">
        <s:f>IF(COUNT(K84,K77)&lt;2,"n/a",IF(K77=0,"n/m",K84/K77))</s:f>
        <s:v>0.22771108314239305</s:v>
      </s:c>
      <s:c r="L7" s="21">
        <s:f>IF(COUNT(L84,L77)&lt;2,"n/a",IF(L77=0,"n/m",L84/L77))</s:f>
        <s:v>0.4616508400292184</s:v>
      </s:c>
      <s:c r="M7" s="21">
        <s:f>IF(COUNT(M84,M77)&lt;2,"n/a",IF(M77=0,"n/m",M84/M77))</s:f>
        <s:v>0.24165141089577677</s:v>
      </s:c>
    </s:row>
    <s:row r="8" ht="24" customHeight="1">
      <s:c r="A8" s="2" t="inlineStr">
        <s:is>
          <s:t>Net profit margin</s:t>
        </s:is>
      </s:c>
      <s:c r="B8" s="21">
        <s:f>IF(COUNT(B78,B77)&lt;2,"n/a",IF(B77=0,"n/m",B78/B77))</s:f>
        <s:v>0.03069845182658102</s:v>
      </s:c>
      <s:c r="C8" s="21">
        <s:f>IF(COUNT(C78,C77)&lt;2,"n/a",IF(C77=0,"n/m",C78/C77))</s:f>
        <s:v>0.03535980148883375</s:v>
      </s:c>
      <s:c r="D8" s="21">
        <s:f>IF(COUNT(D78,D77)&lt;2,"n/a",IF(D77=0,"n/m",D78/D77))</s:f>
        <s:v>0.029425763438516175</s:v>
      </s:c>
      <s:c r="E8" s="21">
        <s:f>IF(COUNT(E78,E77)&lt;2,"n/a",IF(E77=0,"n/m",E78/E77))</s:f>
        <s:v>0.08595908503002739</s:v>
      </s:c>
      <s:c r="F8" s="21">
        <s:f>IF(COUNT(F78,F77)&lt;2,"n/a",IF(F77=0,"n/m",F78/F77))</s:f>
        <s:v>0.0771156386899381</s:v>
      </s:c>
      <s:c r="G8" s="21">
        <s:f>IF(COUNT(G78,G77)&lt;2,"n/a",IF(G77=0,"n/m",G78/G77))</s:f>
        <s:v>0.06698564593301436</s:v>
      </s:c>
      <s:c r="H8" s="21">
        <s:f>IF(COUNT(H78,H77)&lt;2,"n/a",IF(H77=0,"n/m",H78/H77))</s:f>
        <s:v>0.2733985523873094</s:v>
      </s:c>
      <s:c r="I8" s="21">
        <s:f>IF(COUNT(I78,I77)&lt;2,"n/a",IF(I77=0,"n/m",I78/I77))</s:f>
        <s:v>0.08772957146659568</s:v>
      </s:c>
      <s:c r="J8" s="21">
        <s:f>IF(COUNT(J78,J77)&lt;2,"n/a",IF(J77=0,"n/m",J78/J77))</s:f>
        <s:v>0.18436896773600514</s:v>
      </s:c>
      <s:c r="K8" s="21">
        <s:f>IF(COUNT(K78,K77)&lt;2,"n/a",IF(K77=0,"n/m",K78/K77))</s:f>
        <s:v>0.049924161745248004</s:v>
      </s:c>
      <s:c r="L8" s="21">
        <s:f>IF(COUNT(L78,L77)&lt;2,"n/a",IF(L77=0,"n/m",L78/L77))</s:f>
        <s:v>0.18979790601412222</s:v>
      </s:c>
      <s:c r="M8" s="21">
        <s:f>IF(COUNT(M78,M77)&lt;2,"n/a",IF(M77=0,"n/m",M78/M77))</s:f>
        <s:v>0.07898806893504198</s:v>
      </s:c>
    </s:row>
    <s:row r="9" ht="24" customHeight="1">
      <s:c r="A9" s="2" t="inlineStr">
        <s:is>
          <s:t>ROA</s:t>
        </s:is>
      </s:c>
      <s:c r="B9" s="21">
        <s:f>IF(COUNT(B78,B86,B79)&lt;3,"n/a",IF(B79=0,"n/m",(B78+B86)/B79))</s:f>
        <s:v>0.08673964056374443</s:v>
      </s:c>
      <s:c r="C9" s="21">
        <s:f>IF(COUNT(C78,C86,C79)&lt;3,"n/a",IF(C79=0,"n/m",(C78+C86)/C79))</s:f>
        <s:v>0.06975962346612877</s:v>
      </s:c>
      <s:c r="D9" s="21">
        <s:f>IF(COUNT(D78,D86,D79)&lt;3,"n/a",IF(D79=0,"n/m",(D78+D86)/D79))</s:f>
        <s:v>0.10704418993761268</s:v>
      </s:c>
      <s:c r="E9" s="21">
        <s:f>IF(COUNT(E78,E86,E79)&lt;3,"n/a",IF(E79=0,"n/m",(E78+E86)/E79))</s:f>
        <s:v>0.15764784242827917</s:v>
      </s:c>
      <s:c r="F9" s="21">
        <s:f>IF(COUNT(F78,F86,F79)&lt;3,"n/a",IF(F79=0,"n/m",(F78+F86)/F79))</s:f>
        <s:v>0.1510970744680851</s:v>
      </s:c>
      <s:c r="G9" s="21">
        <s:f>IF(COUNT(G78,G86,G79)&lt;3,"n/a",IF(G79=0,"n/m",(G78+G86)/G79))</s:f>
        <s:v>0.08685238219213746</s:v>
      </s:c>
      <s:c r="H9" s="21">
        <s:f>IF(COUNT(H78,H86,H79)&lt;3,"n/a",IF(H79=0,"n/m",(H78+H86)/H79))</s:f>
        <s:v>0.14082773622347733</s:v>
      </s:c>
      <s:c r="I9" s="21">
        <s:f>IF(COUNT(I78,I86,I79)&lt;3,"n/a",IF(I79=0,"n/m",(I78+I86)/I79))</s:f>
        <s:v>0.08716096053035875</s:v>
      </s:c>
      <s:c r="J9" s="21">
        <s:f>IF(COUNT(J78,J86,J79)&lt;3,"n/a",IF(J79=0,"n/m",(J78+J86)/J79))</s:f>
        <s:v>0.13375645149817025</s:v>
      </s:c>
      <s:c r="K9" s="21">
        <s:f>IF(COUNT(K78,K86,K79)&lt;3,"n/a",IF(K79=0,"n/m",(K78+K86)/K79))</s:f>
        <s:v>0.07492262575851741</s:v>
      </s:c>
      <s:c r="L9" s="21">
        <s:f>IF(COUNT(L78,L86,L79)&lt;3,"n/a",IF(L79=0,"n/m",(L78+L86)/L79))</s:f>
        <s:v>0.251311455410516</s:v>
      </s:c>
      <s:c r="M9" s="21">
        <s:f>IF(COUNT(M78,M86,M79)&lt;3,"n/a",IF(M79=0,"n/m",(M78+M86)/M79))</s:f>
        <s:v>0.0698992830527442</s:v>
      </s:c>
    </s:row>
    <s:row r="10" ht="24" customHeight="1">
      <s:c r="A10" s="2" t="inlineStr">
        <s:is>
          <s:t>ROE</s:t>
        </s:is>
      </s:c>
      <s:c r="B10" s="21">
        <s:f>IF(COUNT(B78,B80)&lt;2,"n/a",IF(B80=0,"n/m",B78/B80))</s:f>
        <s:v>0.21977172570946726</s:v>
      </s:c>
      <s:c r="C10" s="21">
        <s:f>IF(COUNT(C78,C80)&lt;2,"n/a",IF(C80=0,"n/m",C78/C80))</s:f>
        <s:v>0.2291988864831426</s:v>
      </s:c>
      <s:c r="D10" s="21">
        <s:f>IF(COUNT(D78,D80)&lt;2,"n/a",IF(D80=0,"n/m",D78/D80))</s:f>
        <s:v>0.27770539020710466</s:v>
      </s:c>
      <s:c r="E10" s="21">
        <s:f>IF(COUNT(E78,E80)&lt;2,"n/a",IF(E80=0,"n/m",E78/E80))</s:f>
        <s:v>1.1048154218371966</s:v>
      </s:c>
      <s:c r="F10" s="21">
        <s:f>IF(COUNT(F78,F80)&lt;2,"n/a",IF(F80=0,"n/m",F78/F80))</s:f>
        <s:v>-0.6709690430573763</s:v>
      </s:c>
      <s:c r="G10" s="21">
        <s:f>IF(COUNT(G78,G80)&lt;2,"n/a",IF(G80=0,"n/m",G78/G80))</s:f>
        <s:v>0.20908173562058527</s:v>
      </s:c>
      <s:c r="H10" s="21">
        <s:f>IF(COUNT(H78,H80)&lt;2,"n/a",IF(H80=0,"n/m",H78/H80))</s:f>
        <s:v>0.4074419472162641</s:v>
      </s:c>
      <s:c r="I10" s="21">
        <s:f>IF(COUNT(I78,I80)&lt;2,"n/a",IF(I80=0,"n/m",I78/I80))</s:f>
        <s:v>0.4038028030971283</s:v>
      </s:c>
      <s:c r="J10" s="21">
        <s:f>IF(COUNT(J78,J80)&lt;2,"n/a",IF(J80=0,"n/m",J78/J80))</s:f>
        <s:v>0.2967030935078863</s:v>
      </s:c>
      <s:c r="K10" s="21">
        <s:f>IF(COUNT(K78,K80)&lt;2,"n/a",IF(K80=0,"n/m",K78/K80))</s:f>
        <s:v>-0.22928142677173136</s:v>
      </s:c>
      <s:c r="L10" s="21">
        <s:f>IF(COUNT(L78,L80)&lt;2,"n/a",IF(L80=0,"n/m",L78/L80))</s:f>
        <s:v>-0.21283276450511945</s:v>
      </s:c>
      <s:c r="M10" s="21">
        <s:f>IF(COUNT(M78,M80)&lt;2,"n/a",IF(M80=0,"n/m",M78/M80))</s:f>
        <s:v>0.24001342732460557</s:v>
      </s:c>
    </s:row>
    <s:row r="11" ht="8" customHeight="1">
      <s:c r="A11" s="2" t="n"/>
      <s:c r="B11" s="3" t="n"/>
      <s:c r="C11" s="3" t="n"/>
      <s:c r="D11" s="3" t="n"/>
      <s:c r="E11" s="3" t="n"/>
      <s:c r="F11" s="3" t="n"/>
      <s:c r="G11" s="3" t="n"/>
      <s:c r="H11" s="3" t="n"/>
      <s:c r="I11" s="3" t="n"/>
      <s:c r="J11" s="3" t="n"/>
      <s:c r="K11" s="3" t="n"/>
      <s:c r="L11" s="3" t="n"/>
      <s:c r="M11" s="3" t="n"/>
    </s:row>
    <s:row r="12" ht="24" customHeight="1">
      <s:c r="A12" s="26" t="inlineStr">
        <s:is>
          <s:t>Liquidity</s:t>
        </s:is>
      </s:c>
      <s:c r="B12" s="3" t="n"/>
      <s:c r="C12" s="3" t="n"/>
      <s:c r="D12" s="3" t="n"/>
      <s:c r="E12" s="3" t="n"/>
      <s:c r="F12" s="3" t="n"/>
      <s:c r="G12" s="3" t="n"/>
      <s:c r="H12" s="3" t="n"/>
      <s:c r="I12" s="3" t="n"/>
      <s:c r="J12" s="3" t="n"/>
      <s:c r="K12" s="3" t="n"/>
      <s:c r="L12" s="3" t="n"/>
      <s:c r="M12" s="3" t="n"/>
    </s:row>
    <s:row r="13" ht="24" customHeight="1">
      <s:c r="A13" s="2" t="inlineStr">
        <s:is>
          <s:t>Current ratio</s:t>
        </s:is>
      </s:c>
      <s:c r="B13" s="25">
        <s:f>IF(COUNT(B82,B83)&lt;2,"n/a",IF(B83=0,"n/m",B82/B83))</s:f>
        <s:v>0.7897533242144247</s:v>
      </s:c>
      <s:c r="C13" s="25">
        <s:f>IF(COUNT(C82,C83)&lt;2,"n/a",IF(C83=0,"n/m",C82/C83))</s:f>
        <s:v>0.9422986340084786</s:v>
      </s:c>
      <s:c r="D13" s="25">
        <s:f>IF(COUNT(D82,D83)&lt;2,"n/a",IF(D83=0,"n/m",D82/D83))</s:f>
        <s:v>1.0342783227336423</s:v>
      </s:c>
      <s:c r="E13" s="25">
        <s:f>IF(COUNT(E82,E83)&lt;2,"n/a",IF(E83=0,"n/m",E82/E83))</s:f>
        <s:v>1.06066493955095</s:v>
      </s:c>
      <s:c r="F13" s="25">
        <s:f>IF(COUNT(F82,F83)&lt;2,"n/a",IF(F83=0,"n/m",F82/F83))</s:f>
        <s:v>1.0766582746750244</s:v>
      </s:c>
      <s:c r="G13" s="25">
        <s:f>IF(COUNT(G82,G83)&lt;2,"n/a",IF(G83=0,"n/m",G82/G83))</s:f>
        <s:v>1.9608671395552721</s:v>
      </s:c>
      <s:c r="H13" s="25">
        <s:f>IF(COUNT(H82,H83)&lt;2,"n/a",IF(H83=0,"n/m",H82/H83))</s:f>
        <s:v>1.4587660354306657</s:v>
      </s:c>
      <s:c r="I13" s="25">
        <s:f>IF(COUNT(I82,I83)&lt;2,"n/a",IF(I83=0,"n/m",I82/I83))</s:f>
        <s:v>0.8530399218654621</s:v>
      </s:c>
      <s:c r="J13" s="25">
        <s:f>IF(COUNT(J82,J83)&lt;2,"n/a",IF(J83=0,"n/m",J82/J83))</s:f>
        <s:v>0.6773143122964801</s:v>
      </s:c>
      <s:c r="K13" s="25">
        <s:f>IF(COUNT(K82,K83)&lt;2,"n/a",IF(K83=0,"n/m",K82/K83))</s:f>
        <s:v>0.7230177074355559</s:v>
      </s:c>
      <s:c r="L13" s="25">
        <s:f>IF(COUNT(L82,L83)&lt;2,"n/a",IF(L83=0,"n/m",L82/L83))</s:f>
        <s:v>1.345646437994723</s:v>
      </s:c>
      <s:c r="M13" s="25">
        <s:f>IF(COUNT(M82,M83)&lt;2,"n/a",IF(M83=0,"n/m",M82/M83))</s:f>
        <s:v>0.3970460469157255</s:v>
      </s:c>
    </s:row>
    <s:row r="14" ht="24" customHeight="1">
      <s:c r="A14" s="2" t="inlineStr">
        <s:is>
          <s:t>Quick ratio</s:t>
        </s:is>
      </s:c>
      <s:c r="B14" s="25">
        <s:f>IF(COUNT(B89,B90,B83)&lt;3,"n/a",IF(B83=0,"n/m",(B89+B90)/B83))</s:f>
        <s:v>0.20377038960072208</s:v>
      </s:c>
      <s:c r="C14" s="25">
        <s:f>IF(COUNT(C89,C90,C83)&lt;3,"n/a",IF(C83=0,"n/m",(C89+C90)/C83))</s:f>
        <s:v>0.3180876118699953</s:v>
      </s:c>
      <s:c r="D14" s="25">
        <s:f>IF(COUNT(D89,D90,D83)&lt;3,"n/a",IF(D83=0,"n/m",(D89+D90)/D83))</s:f>
        <s:v>0.4981944594157594</s:v>
      </s:c>
      <s:c r="E14" s="25">
        <s:f>IF(COUNT(E89,E90,E83)&lt;3,"n/a",IF(E83=0,"n/m",(E89+E90)/E83))</s:f>
        <s:v>0.1979706390328152</s:v>
      </s:c>
      <s:c r="F14" s="25">
        <s:f>IF(COUNT(F89,F90,F83)&lt;3,"n/a",IF(F83=0,"n/m",(F89+F90)/F83))</s:f>
        <s:v>0.10645840826183015</s:v>
      </s:c>
      <s:c r="G14" s="25">
        <s:f>IF(COUNT(G89,G90,G83)&lt;3,"n/a",IF(G83=0,"n/m",(G89+G90)/G83))</s:f>
        <s:v>1.1921574878457002</s:v>
      </s:c>
      <s:c r="H14" s="25">
        <s:f>IF(COUNT(H89,H90,H83)&lt;3,"n/a",IF(H83=0,"n/m",(H89+H90)/H83))</s:f>
        <s:v>0.8854847046661342</s:v>
      </s:c>
      <s:c r="I14" s="25">
        <s:f>IF(COUNT(I89,I90,I83)&lt;3,"n/a",IF(I83=0,"n/m",(I89+I90)/I83))</s:f>
        <s:v>0.5736479062385546</s:v>
      </s:c>
      <s:c r="J14" s="25">
        <s:f>IF(COUNT(J89,J90,J83)&lt;3,"n/a",IF(J83=0,"n/m",(J89+J90)/J83))</s:f>
        <s:v>0.4134491135576575</s:v>
      </s:c>
      <s:c r="K14" s="25">
        <s:f>IF(COUNT(K89,K90,K83)&lt;3,"n/a",IF(K83=0,"n/m",(K89+K90)/K83))</s:f>
        <s:v>0.46467327430854816</s:v>
      </s:c>
      <s:c r="L14" s="25">
        <s:f>IF(COUNT(L89,L90,L83)&lt;3,"n/a",IF(L83=0,"n/m",(L89+L90)/L83))</s:f>
        <s:v>1.0224274406332454</s:v>
      </s:c>
      <s:c r="M14" s="25">
        <s:f>IF(COUNT(M89,M90,M83)&lt;3,"n/a",IF(M83=0,"n/m",(M89+M90)/M83))</s:f>
        <s:v>0.2591949029829134</s:v>
      </s:c>
    </s:row>
    <s:row r="15" ht="8" customHeight="1">
      <s:c r="A15" s="2" t="n"/>
      <s:c r="B15" s="3" t="n"/>
      <s:c r="C15" s="3" t="n"/>
      <s:c r="D15" s="3" t="n"/>
      <s:c r="E15" s="3" t="n"/>
      <s:c r="F15" s="3" t="n"/>
      <s:c r="G15" s="3" t="n"/>
      <s:c r="H15" s="3" t="n"/>
      <s:c r="I15" s="3" t="n"/>
      <s:c r="J15" s="3" t="n"/>
      <s:c r="K15" s="3" t="n"/>
      <s:c r="L15" s="3" t="n"/>
      <s:c r="M15" s="3" t="n"/>
    </s:row>
    <s:row r="16" ht="24" customHeight="1">
      <s:c r="A16" s="26" t="inlineStr">
        <s:is>
          <s:t>Leverage</s:t>
        </s:is>
      </s:c>
      <s:c r="B16" s="3" t="n"/>
      <s:c r="C16" s="3" t="n"/>
      <s:c r="D16" s="3" t="n"/>
      <s:c r="E16" s="3" t="n"/>
      <s:c r="F16" s="3" t="n"/>
      <s:c r="G16" s="3" t="n"/>
      <s:c r="H16" s="3" t="n"/>
      <s:c r="I16" s="3" t="n"/>
      <s:c r="J16" s="3" t="n"/>
      <s:c r="K16" s="3" t="n"/>
      <s:c r="L16" s="3" t="n"/>
      <s:c r="M16" s="3" t="n"/>
    </s:row>
    <s:row r="17" ht="24" customHeight="1">
      <s:c r="A17" s="2" t="inlineStr">
        <s:is>
          <s:t>Debt / equity</s:t>
        </s:is>
      </s:c>
      <s:c r="B17" s="25">
        <s:f>IF(COUNT(B87,B80)&lt;2,"n/a",IF(B80=0,"n/m",B87/B80))</s:f>
        <s:v>0.6735296184386199</s:v>
      </s:c>
      <s:c r="C17" s="25">
        <s:f>IF(COUNT(C87,C80)&lt;2,"n/a",IF(C80=0,"n/m",C87/C80))</s:f>
        <s:v>1.2551809464893289</s:v>
      </s:c>
      <s:c r="D17" s="25">
        <s:f>IF(COUNT(D87,D80)&lt;2,"n/a",IF(D80=0,"n/m",D87/D80))</s:f>
        <s:v>0.2802427650528048</s:v>
      </s:c>
      <s:c r="E17" s="25">
        <s:f>IF(COUNT(E87,E80)&lt;2,"n/a",IF(E80=0,"n/m",E87/E80))</s:f>
        <s:v>5.100288769218762</s:v>
      </s:c>
      <s:c r="F17" s="25">
        <s:f>IF(COUNT(F87,F80)&lt;2,"n/a",IF(F80=0,"n/m",F87/F80))</s:f>
        <s:v>-4.505092265806192</s:v>
      </s:c>
      <s:c r="G17" s="25">
        <s:f>IF(COUNT(G87,G80)&lt;2,"n/a",IF(G80=0,"n/m",G87/G80))</s:f>
        <s:v>0.7422132526067945</s:v>
      </s:c>
      <s:c r="H17" s="25">
        <s:f>IF(COUNT(H87,H80)&lt;2,"n/a",IF(H80=0,"n/m",H87/H80))</s:f>
        <s:v>1.4141564860580063</s:v>
      </s:c>
      <s:c r="I17" s="25">
        <s:f>IF(COUNT(I87,I80)&lt;2,"n/a",IF(I80=0,"n/m",I87/I80))</s:f>
        <s:v>2.4454082132706065</s:v>
      </s:c>
      <s:c r="J17" s="25">
        <s:f>IF(COUNT(J87,J80)&lt;2,"n/a",IF(J80=0,"n/m",J87/J80))</s:f>
        <s:v>0.6476581424160056</s:v>
      </s:c>
      <s:c r="K17" s="25">
        <s:f>IF(COUNT(K87,K80)&lt;2,"n/a",IF(K80=0,"n/m",K87/K80))</s:f>
        <s:v>-3.2867499938245683</s:v>
      </s:c>
      <s:c r="L17" s="25">
        <s:f>IF(COUNT(L87,L80)&lt;2,"n/a",IF(L80=0,"n/m",L87/L80))</s:f>
        <s:v>-1.8005460750853242</s:v>
      </s:c>
      <s:c r="M17" s="25">
        <s:f>IF(COUNT(M87,M80)&lt;2,"n/a",IF(M80=0,"n/m",M87/M80))</s:f>
        <s:v>0.9722342109049058</s:v>
      </s:c>
    </s:row>
    <s:row r="18" ht="24" customHeight="1">
      <s:c r="A18" s="2" t="inlineStr">
        <s:is>
          <s:t>Equity multiplier</s:t>
        </s:is>
      </s:c>
      <s:c r="B18" s="25">
        <s:f>IF(COUNT(B79,B80)&lt;2,"n/a",IF(B80=0,"n/m",B79/B80))</s:f>
        <s:v>2.857624702611</s:v>
      </s:c>
      <s:c r="C18" s="25">
        <s:f>IF(COUNT(C79,C80)&lt;2,"n/a",IF(C80=0,"n/m",C79/C80))</s:f>
        <s:v>3.6801732137333745</s:v>
      </s:c>
      <s:c r="D18" s="25">
        <s:f>IF(COUNT(D79,D80)&lt;2,"n/a",IF(D80=0,"n/m",D79/D80))</s:f>
        <s:v>2.6436359895761896</s:v>
      </s:c>
      <s:c r="E18" s="25">
        <s:f>IF(COUNT(E79,E80)&lt;2,"n/a",IF(E80=0,"n/m",E79/E80))</s:f>
        <s:v>8.202216498868337</s:v>
      </s:c>
      <s:c r="F18" s="25">
        <s:f>IF(COUNT(F79,F80)&lt;2,"n/a",IF(F80=0,"n/m",F79/F80))</s:f>
        <s:v>-5.459715639810427</s:v>
      </s:c>
      <s:c r="G18" s="25">
        <s:f>IF(COUNT(G79,G80)&lt;2,"n/a",IF(G80=0,"n/m",G79/G80))</s:f>
        <s:v>2.5839219643457785</s:v>
      </s:c>
      <s:c r="H18" s="25">
        <s:f>IF(COUNT(H79,H80)&lt;2,"n/a",IF(H80=0,"n/m",H79/H80))</s:f>
        <s:v>3.258292144611272</s:v>
      </s:c>
      <s:c r="I18" s="25">
        <s:f>IF(COUNT(I79,I80)&lt;2,"n/a",IF(I80=0,"n/m",I79/I80))</s:f>
        <s:v>5.263108889542291</s:v>
      </s:c>
      <s:c r="J18" s="25">
        <s:f>IF(COUNT(J79,J80)&lt;2,"n/a",IF(J80=0,"n/m",J79/J80))</s:f>
        <s:v>2.3394722730718738</s:v>
      </s:c>
      <s:c r="K18" s="25">
        <s:f>IF(COUNT(K79,K80)&lt;2,"n/a",IF(K80=0,"n/m",K79/K80))</s:f>
        <s:v>-3.9547093841859544</s:v>
      </s:c>
      <s:c r="L18" s="25">
        <s:f>IF(COUNT(L79,L80)&lt;2,"n/a",IF(L80=0,"n/m",L79/L80))</s:f>
        <s:v>-1.1190443686006826</s:v>
      </s:c>
      <s:c r="M18" s="25">
        <s:f>IF(COUNT(M79,M80)&lt;2,"n/a",IF(M80=0,"n/m",M79/M80))</s:f>
        <s:v>3.8995348391118783</s:v>
      </s:c>
    </s:row>
    <s:row r="19" ht="24" customHeight="1">
      <s:c r="A19" s="2" t="inlineStr">
        <s:is>
          <s:t>Interest coverage</s:t>
        </s:is>
      </s:c>
      <s:c r="B19" s="25">
        <s:f>IF(COUNT(B81,B86)&lt;2,"n/a",IF(B86=0,"n/m",B81/B86))</s:f>
        <s:v>11.528403001071812</s:v>
      </s:c>
      <s:c r="C19" s="25">
        <s:f>IF(COUNT(C81,C86)&lt;2,"n/a",IF(C86=0,"n/m",C81/C86))</s:f>
        <s:v>11.712359550561798</s:v>
      </s:c>
      <s:c r="D19" s="25">
        <s:f>IF(COUNT(D81,D86)&lt;2,"n/a",IF(D86=0,"n/m",D81/D86))</s:f>
        <s:v>71.24675324675324</s:v>
      </s:c>
      <s:c r="E19" s="25">
        <s:f>IF(COUNT(E81,E86)&lt;2,"n/a",IF(E86=0,"n/m",E81/E86))</s:f>
        <s:v>8.712271973466004</s:v>
      </s:c>
      <s:c r="F19" s="25">
        <s:f>IF(COUNT(F81,F86)&lt;2,"n/a",IF(F86=0,"n/m",F81/F86))</s:f>
        <s:v>6.72822527832351</s:v>
      </s:c>
      <s:c r="G19" s="25">
        <s:f>IF(COUNT(G81,G86)&lt;2,"n/a",IF(G86=0,"n/m",G81/G86))</s:f>
        <s:v>16.653508771929825</s:v>
      </s:c>
      <s:c r="H19" s="25">
        <s:f>IF(COUNT(H81,H86)&lt;2,"n/a",IF(H86=0,"n/m",H81/H86))</s:f>
        <s:v>10.672309552599758</s:v>
      </s:c>
      <s:c r="I19" s="25">
        <s:f>IF(COUNT(I81,I86)&lt;2,"n/a",IF(I86=0,"n/m",I81/I86))</s:f>
        <s:v>10.138269402319358</s:v>
      </s:c>
      <s:c r="J19" s="25">
        <s:f>IF(COUNT(J81,J86)&lt;2,"n/a",IF(J86=0,"n/m",J81/J86))</s:f>
        <s:v>24.234891676168758</s:v>
      </s:c>
      <s:c r="K19" s="25">
        <s:f>IF(COUNT(K81,K86)&lt;2,"n/a",IF(K86=0,"n/m",K81/K86))</s:f>
        <s:v>5.620899373387394</s:v>
      </s:c>
      <s:c r="L19" s="25">
        <s:f>IF(COUNT(L81,L86)&lt;2,"n/a",IF(L86=0,"n/m",L81/L86))</s:f>
        <s:v>5.145708582834331</s:v>
      </s:c>
      <s:c r="M19" s="25">
        <s:f>IF(COUNT(M81,M86)&lt;2,"n/a",IF(M86=0,"n/m",M81/M86))</s:f>
        <s:v>10.108983799705449</s:v>
      </s:c>
    </s:row>
    <s:row r="20" ht="8" customHeight="1">
      <s:c r="A20" s="2" t="n"/>
      <s:c r="B20" s="3" t="n"/>
      <s:c r="C20" s="3" t="n"/>
      <s:c r="D20" s="3" t="n"/>
      <s:c r="E20" s="3" t="n"/>
      <s:c r="F20" s="3" t="n"/>
      <s:c r="G20" s="3" t="n"/>
      <s:c r="H20" s="3" t="n"/>
      <s:c r="I20" s="3" t="n"/>
      <s:c r="J20" s="3" t="n"/>
      <s:c r="K20" s="3" t="n"/>
      <s:c r="L20" s="3" t="n"/>
      <s:c r="M20" s="3" t="n"/>
    </s:row>
    <s:row r="21" ht="24" customHeight="1">
      <s:c r="A21" s="26" t="inlineStr">
        <s:is>
          <s:t>Efficiency</s:t>
        </s:is>
      </s:c>
      <s:c r="B21" s="3" t="n"/>
      <s:c r="C21" s="3" t="n"/>
      <s:c r="D21" s="3" t="n"/>
      <s:c r="E21" s="3" t="n"/>
      <s:c r="F21" s="3" t="n"/>
      <s:c r="G21" s="3" t="n"/>
      <s:c r="H21" s="3" t="n"/>
      <s:c r="I21" s="3" t="n"/>
      <s:c r="J21" s="3" t="n"/>
      <s:c r="K21" s="3" t="n"/>
      <s:c r="L21" s="3" t="n"/>
      <s:c r="M21" s="3" t="n"/>
    </s:row>
    <s:row r="22" ht="24" customHeight="1">
      <s:c r="A22" s="2" t="inlineStr">
        <s:is>
          <s:t>Asset turnover</s:t>
        </s:is>
      </s:c>
      <s:c r="B22" s="25">
        <s:f>IF(COUNT(B77,B79)&lt;2,"n/a",IF(B79=0,"n/m",B77/B79))</s:f>
        <s:v>2.5052447061137886</s:v>
      </s:c>
      <s:c r="C22" s="25">
        <s:f>IF(COUNT(C77,C79)&lt;2,"n/a",IF(C79=0,"n/m",C77/C79))</s:f>
        <s:v>1.7613044209110775</s:v>
      </s:c>
      <s:c r="D22" s="25">
        <s:f>IF(COUNT(D77,D79)&lt;2,"n/a",IF(D79=0,"n/m",D77/D79))</s:f>
        <s:v>3.569890660060442</s:v>
      </s:c>
      <s:c r="E22" s="25">
        <s:f>IF(COUNT(E77,E79)&lt;2,"n/a",IF(E79=0,"n/m",E77/E79))</s:f>
        <s:v>1.5669917693515392</s:v>
      </s:c>
      <s:c r="F22" s="25">
        <s:f>IF(COUNT(F77,F79)&lt;2,"n/a",IF(F79=0,"n/m",F77/F79))</s:f>
        <s:v>1.5936391843971631</s:v>
      </s:c>
      <s:c r="G22" s="25">
        <s:f>IF(COUNT(G77,G79)&lt;2,"n/a",IF(G79=0,"n/m",G77/G79))</s:f>
        <s:v>1.2079666753449623</s:v>
      </s:c>
      <s:c r="H22" s="25">
        <s:f>IF(COUNT(H77,H79)&lt;2,"n/a",IF(H79=0,"n/m",H77/H79))</s:f>
        <s:v>0.45738246069302396</s:v>
      </s:c>
      <s:c r="I22" s="25">
        <s:f>IF(COUNT(I77,I79)&lt;2,"n/a",IF(I79=0,"n/m",I77/I79))</s:f>
        <s:v>0.8745425935064572</s:v>
      </s:c>
      <s:c r="J22" s="25">
        <s:f>IF(COUNT(J77,J79)&lt;2,"n/a",IF(J79=0,"n/m",J77/J79))</s:f>
        <s:v>0.6878858055184515</s:v>
      </s:c>
      <s:c r="K22" s="25">
        <s:f>IF(COUNT(K77,K79)&lt;2,"n/a",IF(K79=0,"n/m",K77/K79))</s:f>
        <s:v>1.1612975761796644</s:v>
      </s:c>
      <s:c r="L22" s="25">
        <s:f>IF(COUNT(L77,L79)&lt;2,"n/a",IF(L79=0,"n/m",L77/L79))</s:f>
        <s:v>1.0020739294863974</s:v>
      </s:c>
      <s:c r="M22" s="25">
        <s:f>IF(COUNT(M77,M79)&lt;2,"n/a",IF(M79=0,"n/m",M77/M79))</s:f>
        <s:v>0.7792220568884735</s:v>
      </s:c>
    </s:row>
    <s:row r="23" ht="24" customHeight="1">
      <s:c r="A23" s="2" t="inlineStr">
        <s:is>
          <s:t>Inventory turnover</s:t>
        </s:is>
      </s:c>
      <s:c r="B23" s="25">
        <s:f>IF(COUNT(B85,B88)&lt;2,"n/a",IF(B88=0,"n/m",B85/B88))</s:f>
        <s:v>9.097466483152369</s:v>
      </s:c>
      <s:c r="C23" s="25">
        <s:f>IF(COUNT(C85,C88)&lt;2,"n/a",IF(C88=0,"n/m",C85/C88))</s:f>
        <s:v>6.137109882964889</s:v>
      </s:c>
      <s:c r="D23" s="25">
        <s:f>IF(COUNT(D85,D88)&lt;2,"n/a",IF(D88=0,"n/m",D85/D88))</s:f>
        <s:v>13.241664826672555</s:v>
      </s:c>
      <s:c r="E23" s="25">
        <s:f>IF(COUNT(E85,E88)&lt;2,"n/a",IF(E88=0,"n/m",E85/E88))</s:f>
        <s:v>4.253708796529419</s:v>
      </s:c>
      <s:c r="F23" s="25">
        <s:f>IF(COUNT(F85,F88)&lt;2,"n/a",IF(F88=0,"n/m",F85/F88))</s:f>
        <s:v>3.3179768786127166</s:v>
      </s:c>
      <s:c r="G23" s="25">
        <s:f>IF(COUNT(G85,G88)&lt;2,"n/a",IF(G88=0,"n/m",G85/G88))</s:f>
        <s:v>3.5311291827756297</s:v>
      </s:c>
      <s:c r="H23" s="25">
        <s:f>IF(COUNT(H85,H88)&lt;2,"n/a",IF(H88=0,"n/m",H85/H88))</s:f>
        <s:v>4.157514124293785</s:v>
      </s:c>
      <s:c r="I23" s="25">
        <s:f>IF(COUNT(I85,I88)&lt;2,"n/a",IF(I88=0,"n/m",I85/I88))</s:f>
        <s:v>7.368006843455945</s:v>
      </s:c>
      <s:c r="J23" s="25">
        <s:f>IF(COUNT(J85,J88)&lt;2,"n/a",IF(J88=0,"n/m",J85/J88))</s:f>
        <s:v>5.307466340269277</s:v>
      </s:c>
      <s:c r="K23" s="25">
        <s:f>IF(COUNT(K85,K88)&lt;2,"n/a",IF(K88=0,"n/m",K85/K88))</s:f>
        <s:v>13.139229502196192</s:v>
      </s:c>
      <s:c r="L23" s="25" t="str">
        <s:f>IF(COUNT(L85,L88)&lt;2,"n/a",IF(L88=0,"n/m",L85/L88))</s:f>
        <s:v>n/a</s:v>
      </s:c>
      <s:c r="M23" s="25">
        <s:f>IF(COUNT(M85,M88)&lt;2,"n/a",IF(M88=0,"n/m",M85/M88))</s:f>
        <s:v>30.01374141161774</s:v>
      </s:c>
    </s:row>
    <s:row r="24" ht="8" customHeight="1">
      <s:c r="A24" s="2" t="n"/>
      <s:c r="B24" s="3" t="n"/>
      <s:c r="C24" s="3" t="n"/>
      <s:c r="D24" s="3" t="n"/>
      <s:c r="E24" s="3" t="n"/>
      <s:c r="F24" s="3" t="n"/>
      <s:c r="G24" s="3" t="n"/>
      <s:c r="H24" s="3" t="n"/>
      <s:c r="I24" s="3" t="n"/>
      <s:c r="J24" s="3" t="n"/>
      <s:c r="K24" s="3" t="n"/>
      <s:c r="L24" s="3" t="n"/>
      <s:c r="M24" s="3" t="n"/>
    </s:row>
    <s:row r="25" ht="8" customHeight="1">
      <s:c r="A25" s="2" t="n"/>
      <s:c r="B25" s="3" t="n"/>
      <s:c r="C25" s="3" t="n"/>
      <s:c r="D25" s="3" t="n"/>
      <s:c r="E25" s="3" t="n"/>
      <s:c r="F25" s="3" t="n"/>
      <s:c r="G25" s="3" t="n"/>
      <s:c r="H25" s="3" t="n"/>
      <s:c r="I25" s="3" t="n"/>
      <s:c r="J25" s="3" t="n"/>
      <s:c r="K25" s="3" t="n"/>
      <s:c r="L25" s="3" t="n"/>
      <s:c r="M25" s="3" t="n"/>
    </s:row>
    <s:row r="26" ht="8" customHeight="1">
      <s:c r="A26" s="2" t="n"/>
      <s:c r="B26" s="3" t="n"/>
      <s:c r="C26" s="3" t="n"/>
      <s:c r="D26" s="3" t="n"/>
      <s:c r="E26" s="3" t="n"/>
      <s:c r="F26" s="3" t="n"/>
      <s:c r="G26" s="3" t="n"/>
      <s:c r="H26" s="3" t="n"/>
      <s:c r="I26" s="3" t="n"/>
      <s:c r="J26" s="3" t="n"/>
      <s:c r="K26" s="3" t="n"/>
      <s:c r="L26" s="3" t="n"/>
      <s:c r="M26" s="3" t="n"/>
    </s:row>
    <s:row r="27" ht="24" customHeight="1">
      <s:c r="A27" s="7" t="inlineStr">
        <s:is>
          <s:t>Prior annual period</s:t>
        </s:is>
      </s:c>
      <s:c r="B27" s="17" t="n">
        <s:v>45688</s:v>
      </s:c>
      <s:c r="C27" s="17" t="n">
        <s:v>45688</s:v>
      </s:c>
      <s:c r="D27" s="17" t="n">
        <s:v>45535</s:v>
      </s:c>
      <s:c r="E27" s="17" t="n">
        <s:v>45688</s:v>
      </s:c>
      <s:c r="F27" s="17" t="n">
        <s:v>45688</s:v>
      </s:c>
      <s:c r="G27" s="17" t="n">
        <s:v>45808</s:v>
      </s:c>
      <s:c r="H27" s="17" t="n">
        <s:v>45657</s:v>
      </s:c>
      <s:c r="I27" s="17" t="n">
        <s:v>45657</s:v>
      </s:c>
      <s:c r="J27" s="17" t="n">
        <s:v>45838</s:v>
      </s:c>
      <s:c r="K27" s="17" t="n">
        <s:v>45565</s:v>
      </s:c>
      <s:c r="L27" s="17" t="n">
        <s:v>45657</s:v>
      </s:c>
      <s:c r="M27" s="17" t="n">
        <s:v>45657</s:v>
      </s:c>
    </s:row>
    <s:row r="28" ht="24" customHeight="1">
      <s:c r="A28" s="26" t="inlineStr">
        <s:is>
          <s:t>Profitability</s:t>
        </s:is>
      </s:c>
      <s:c r="B28" s="3" t="n"/>
      <s:c r="C28" s="3" t="n"/>
      <s:c r="D28" s="3" t="n"/>
      <s:c r="E28" s="3" t="n"/>
      <s:c r="F28" s="3" t="n"/>
      <s:c r="G28" s="3" t="n"/>
      <s:c r="H28" s="3" t="n"/>
      <s:c r="I28" s="3" t="n"/>
      <s:c r="J28" s="3" t="n"/>
      <s:c r="K28" s="3" t="n"/>
      <s:c r="L28" s="3" t="n"/>
      <s:c r="M28" s="3" t="n"/>
    </s:row>
    <s:row r="29" ht="24" customHeight="1">
      <s:c r="A29" s="2" t="inlineStr">
        <s:is>
          <s:t>Gross margin</s:t>
        </s:is>
      </s:c>
      <s:c r="B29" s="21">
        <s:f>IF(COUNT(B102,B95)&lt;2,"n/a",IF(B95=0,"n/m",B102/B95))</s:f>
        <s:v>0.24851061330278934</s:v>
      </s:c>
      <s:c r="C29" s="21">
        <s:f>IF(COUNT(C102,C95)&lt;2,"n/a",IF(C95=0,"n/m",C102/C95))</s:f>
        <s:v>0.28211624720830286</s:v>
      </s:c>
      <s:c r="D29" s="21">
        <s:f>IF(COUNT(D102,D95)&lt;2,"n/a",IF(D95=0,"n/m",D102/D95))</s:f>
        <s:v>0.1261333134213391</s:v>
      </s:c>
      <s:c r="E29" s="21">
        <s:f>IF(COUNT(E102,E95)&lt;2,"n/a",IF(E95=0,"n/m",E102/E95))</s:f>
        <s:v>0.3341901024361498</s:v>
      </s:c>
      <s:c r="F29" s="21">
        <s:f>IF(COUNT(F102,F95)&lt;2,"n/a",IF(F95=0,"n/m",F102/F95))</s:f>
        <s:v>0.33316203360661617</s:v>
      </s:c>
      <s:c r="G29" s="21">
        <s:f>IF(COUNT(G102,G95)&lt;2,"n/a",IF(G95=0,"n/m",G102/G95))</s:f>
        <s:v>0.42734673605562634</s:v>
      </s:c>
      <s:c r="H29" s="21">
        <s:f>IF(COUNT(H102,H95)&lt;2,"n/a",IF(H95=0,"n/m",H102/H95))</s:f>
        <s:v>0.6106330082233696</s:v>
      </s:c>
      <s:c r="I29" s="21">
        <s:f>IF(COUNT(I102,I95)&lt;2,"n/a",IF(I95=0,"n/m",I102/I95))</s:f>
        <s:v>0.5455396607659982</s:v>
      </s:c>
      <s:c r="J29" s="21">
        <s:f>IF(COUNT(J102,J95)&lt;2,"n/a",IF(J95=0,"n/m",J102/J95))</s:f>
        <s:v>0.5116036258364577</s:v>
      </s:c>
      <s:c r="K29" s="21">
        <s:f>IF(COUNT(K102,K95)&lt;2,"n/a",IF(K95=0,"n/m",K102/K95))</s:f>
        <s:v>0.26838363343855903</s:v>
      </s:c>
      <s:c r="L29" s="21">
        <s:f>IF(COUNT(L102,L95)&lt;2,"n/a",IF(L95=0,"n/m",L102/L95))</s:f>
        <s:v>0.4747648695191416</s:v>
      </s:c>
      <s:c r="M29" s="21">
        <s:f>IF(COUNT(M102,M95)&lt;2,"n/a",IF(M95=0,"n/m",M102/M95))</s:f>
        <s:v>0.24606200217380725</s:v>
      </s:c>
    </s:row>
    <s:row r="30" ht="24" customHeight="1">
      <s:c r="A30" s="2" t="inlineStr">
        <s:is>
          <s:t>Net profit margin</s:t>
        </s:is>
      </s:c>
      <s:c r="B30" s="21">
        <s:f>IF(COUNT(B96,B95)&lt;2,"n/a",IF(B95=0,"n/m",B96/B95))</s:f>
        <s:v>0.028541010448100913</s:v>
      </s:c>
      <s:c r="C30" s="21">
        <s:f>IF(COUNT(C96,C95)&lt;2,"n/a",IF(C95=0,"n/m",C96/C95))</s:f>
        <s:v>0.03838935495373759</s:v>
      </s:c>
      <s:c r="D30" s="21">
        <s:f>IF(COUNT(D96,D95)&lt;2,"n/a",IF(D95=0,"n/m",D96/D95))</s:f>
        <s:v>0.028952301603832536</s:v>
      </s:c>
      <s:c r="E30" s="21">
        <s:f>IF(COUNT(E96,E95)&lt;2,"n/a",IF(E95=0,"n/m",E96/E95))</s:f>
        <s:v>0.09281943904610254</s:v>
      </s:c>
      <s:c r="F30" s="21">
        <s:f>IF(COUNT(F96,F95)&lt;2,"n/a",IF(F95=0,"n/m",F96/F95))</s:f>
        <s:v>0.08314410689102947</s:v>
      </s:c>
      <s:c r="G30" s="21">
        <s:f>IF(COUNT(G96,G95)&lt;2,"n/a",IF(G95=0,"n/m",G96/G95))</s:f>
        <s:v>0.06951132609212032</s:v>
      </s:c>
      <s:c r="H30" s="21">
        <s:f>IF(COUNT(H96,H95)&lt;2,"n/a",IF(H95=0,"n/m",H96/H95))</s:f>
        <s:v>0.22589830220352308</s:v>
      </s:c>
      <s:c r="I30" s="21">
        <s:f>IF(COUNT(I96,I95)&lt;2,"n/a",IF(I95=0,"n/m",I96/I95))</s:f>
        <s:v>0.10427417423302197</s:v>
      </s:c>
      <s:c r="J30" s="21">
        <s:f>IF(COUNT(J96,J95)&lt;2,"n/a",IF(J95=0,"n/m",J96/J95))</s:f>
        <s:v>0.1895258886621423</s:v>
      </s:c>
      <s:c r="K30" s="21">
        <s:f>IF(COUNT(K96,K95)&lt;2,"n/a",IF(K95=0,"n/m",K96/K95))</s:f>
        <s:v>0.10396061498996578</s:v>
      </s:c>
      <s:c r="L30" s="21">
        <s:f>IF(COUNT(L96,L95)&lt;2,"n/a",IF(L95=0,"n/m",L96/L95))</s:f>
        <s:v>0.19684726453834944</s:v>
      </s:c>
      <s:c r="M30" s="21">
        <s:f>IF(COUNT(M96,M95)&lt;2,"n/a",IF(M95=0,"n/m",M96/M95))</s:f>
        <s:v>0.056080982431095175</s:v>
      </s:c>
    </s:row>
    <s:row r="31" ht="24" customHeight="1">
      <s:c r="A31" s="2" t="inlineStr">
        <s:is>
          <s:t>ROA</s:t>
        </s:is>
      </s:c>
      <s:c r="B31" s="21">
        <s:f>IF(COUNT(B96,B104,B97)&lt;3,"n/a",IF(B97=0,"n/m",(B96+B104)/B97))</s:f>
        <s:v>0.08497716842456378</s:v>
      </s:c>
      <s:c r="C31" s="21">
        <s:f>IF(COUNT(C96,C104,C97)&lt;3,"n/a",IF(C97=0,"n/m",(C96+C104)/C97))</s:f>
        <s:v>0.07793107029721823</s:v>
      </s:c>
      <s:c r="D31" s="21">
        <s:f>IF(COUNT(D96,D104,D97)&lt;3,"n/a",IF(D97=0,"n/m",(D96+D104)/D97))</s:f>
        <s:v>0.1079176869871547</s:v>
      </s:c>
      <s:c r="E31" s="21">
        <s:f>IF(COUNT(E96,E104,E97)&lt;3,"n/a",IF(E97=0,"n/m",(E96+E104)/E97))</s:f>
        <s:v>0.1781853743796752</s:v>
      </s:c>
      <s:c r="F31" s="21">
        <s:f>IF(COUNT(F96,F104,F97)&lt;3,"n/a",IF(F97=0,"n/m",(F96+F104)/F97))</s:f>
        <s:v>0.19555937079485872</s:v>
      </s:c>
      <s:c r="G31" s="21">
        <s:f>IF(COUNT(G96,G104,G97)&lt;3,"n/a",IF(G97=0,"n/m",(G96+G104)/G97))</s:f>
        <s:v>0.09612072500615107</s:v>
      </s:c>
      <s:c r="H31" s="21">
        <s:f>IF(COUNT(H96,H104,H97)&lt;3,"n/a",IF(H97=0,"n/m",(H96+H104)/H97))</s:f>
        <s:v>0.12219912679390148</s:v>
      </s:c>
      <s:c r="I31" s="21">
        <s:f>IF(COUNT(I96,I104,I97)&lt;3,"n/a",IF(I97=0,"n/m",(I96+I104)/I97))</s:f>
        <s:v>0.10553248816190294</s:v>
      </s:c>
      <s:c r="J31" s="21">
        <s:f>IF(COUNT(J96,J104,J97)&lt;3,"n/a",IF(J97=0,"n/m",(J96+J104)/J97))</s:f>
        <s:v>0.13479889164823405</s:v>
      </s:c>
      <s:c r="K31" s="21">
        <s:f>IF(COUNT(K96,K104,K97)&lt;3,"n/a",IF(K97=0,"n/m",(K96+K104)/K97))</s:f>
        <s:v>0.13793862658068304</s:v>
      </s:c>
      <s:c r="L31" s="21">
        <s:f>IF(COUNT(L96,L104,L97)&lt;3,"n/a",IF(L97=0,"n/m",(L96+L104)/L97))</s:f>
        <s:v>0.29359298349933105</s:v>
      </s:c>
      <s:c r="M31" s="21">
        <s:f>IF(COUNT(M96,M104,M97)&lt;3,"n/a",IF(M97=0,"n/m",(M96+M104)/M97))</s:f>
        <s:v>0.05577668099559518</s:v>
      </s:c>
    </s:row>
    <s:row r="32" ht="24" customHeight="1">
      <s:c r="A32" s="2" t="inlineStr">
        <s:is>
          <s:t>ROE</s:t>
        </s:is>
      </s:c>
      <s:c r="B32" s="21">
        <s:f>IF(COUNT(B96,B98)&lt;2,"n/a",IF(B98=0,"n/m",B96/B98))</s:f>
        <s:v>0.2135519101666795</s:v>
      </s:c>
      <s:c r="C32" s="21">
        <s:f>IF(COUNT(C96,C98)&lt;2,"n/a",IF(C98=0,"n/m",C96/C98))</s:f>
        <s:v>0.27894449747715805</s:v>
      </s:c>
      <s:c r="D32" s="21">
        <s:f>IF(COUNT(D96,D98)&lt;2,"n/a",IF(D98=0,"n/m",D96/D98))</s:f>
        <s:v>0.3118702904072475</s:v>
      </s:c>
      <s:c r="E32" s="21">
        <s:f>IF(COUNT(E96,E98)&lt;2,"n/a",IF(E98=0,"n/m",E96/E98))</s:f>
        <s:v>2.2298192771084335</s:v>
      </s:c>
      <s:c r="F32" s="21">
        <s:f>IF(COUNT(F96,F98)&lt;2,"n/a",IF(F98=0,"n/m",F96/F98))</s:f>
        <s:v>-0.4888623427728199</s:v>
      </s:c>
      <s:c r="G32" s="21">
        <s:f>IF(COUNT(G96,G98)&lt;2,"n/a",IF(G98=0,"n/m",G96/G98))</s:f>
        <s:v>0.24362370392794974</s:v>
      </s:c>
      <s:c r="H32" s="21">
        <s:f>IF(COUNT(H96,H98)&lt;2,"n/a",IF(H98=0,"n/m",H96/H98))</s:f>
        <s:v>0.4277035725780496</s:v>
      </s:c>
      <s:c r="I32" s="21">
        <s:f>IF(COUNT(I96,I98)&lt;2,"n/a",IF(I98=0,"n/m",I96/I98))</s:f>
        <s:v>0.5309018347098277</s:v>
      </s:c>
      <s:c r="J32" s="21">
        <s:f>IF(COUNT(J96,J98)&lt;2,"n/a",IF(J98=0,"n/m",J96/J98))</s:f>
        <s:v>0.3071214335153426</s:v>
      </s:c>
      <s:c r="K32" s="21">
        <s:f>IF(COUNT(K96,K98)&lt;2,"n/a",IF(K98=0,"n/m",K96/K98))</s:f>
        <s:v>-0.5048933399562352</s:v>
      </s:c>
      <s:c r="L32" s="21">
        <s:f>IF(COUNT(L96,L98)&lt;2,"n/a",IF(L98=0,"n/m",L96/L98))</s:f>
        <s:v>-0.19429916317991633</s:v>
      </s:c>
      <s:c r="M32" s="21">
        <s:f>IF(COUNT(M96,M98)&lt;2,"n/a",IF(M98=0,"n/m",M96/M98))</s:f>
        <s:v>0.22605113450598313</s:v>
      </s:c>
    </s:row>
    <s:row r="33" ht="8" customHeight="1">
      <s:c r="A33" s="2" t="n"/>
      <s:c r="B33" s="3" t="n"/>
      <s:c r="C33" s="3" t="n"/>
      <s:c r="D33" s="3" t="n"/>
      <s:c r="E33" s="3" t="n"/>
      <s:c r="F33" s="3" t="n"/>
      <s:c r="G33" s="3" t="n"/>
      <s:c r="H33" s="3" t="n"/>
      <s:c r="I33" s="3" t="n"/>
      <s:c r="J33" s="3" t="n"/>
      <s:c r="K33" s="3" t="n"/>
      <s:c r="L33" s="3" t="n"/>
      <s:c r="M33" s="3" t="n"/>
    </s:row>
    <s:row r="34" ht="24" customHeight="1">
      <s:c r="A34" s="26" t="inlineStr">
        <s:is>
          <s:t>Liquidity</s:t>
        </s:is>
      </s:c>
      <s:c r="B34" s="3" t="n"/>
      <s:c r="C34" s="3" t="n"/>
      <s:c r="D34" s="3" t="n"/>
      <s:c r="E34" s="3" t="n"/>
      <s:c r="F34" s="3" t="n"/>
      <s:c r="G34" s="3" t="n"/>
      <s:c r="H34" s="3" t="n"/>
      <s:c r="I34" s="3" t="n"/>
      <s:c r="J34" s="3" t="n"/>
      <s:c r="K34" s="3" t="n"/>
      <s:c r="L34" s="3" t="n"/>
      <s:c r="M34" s="3" t="n"/>
    </s:row>
    <s:row r="35" ht="24" customHeight="1">
      <s:c r="A35" s="2" t="inlineStr">
        <s:is>
          <s:t>Current ratio</s:t>
        </s:is>
      </s:c>
      <s:c r="B35" s="25">
        <s:f>IF(COUNT(B100,B101)&lt;2,"n/a",IF(B101=0,"n/m",B100/B101))</s:f>
        <s:v>0.8226828460200447</s:v>
      </s:c>
      <s:c r="C35" s="25">
        <s:f>IF(COUNT(C100,C101)&lt;2,"n/a",IF(C101=0,"n/m",C100/C101))</s:f>
        <s:v>0.9353334294918025</s:v>
      </s:c>
      <s:c r="D35" s="25">
        <s:f>IF(COUNT(D100,D101)&lt;2,"n/a",IF(D101=0,"n/m",D100/D101))</s:f>
        <s:v>0.965655312429506</s:v>
      </s:c>
      <s:c r="E35" s="25">
        <s:f>IF(COUNT(E100,E101)&lt;2,"n/a",IF(E101=0,"n/m",E100/E101))</s:f>
        <s:v>1.1054394473326123</s:v>
      </s:c>
      <s:c r="F35" s="25">
        <s:f>IF(COUNT(F100,F101)&lt;2,"n/a",IF(F101=0,"n/m",F100/F101))</s:f>
        <s:v>1.0853548008743403</s:v>
      </s:c>
      <s:c r="G35" s="25">
        <s:f>IF(COUNT(G100,G101)&lt;2,"n/a",IF(G101=0,"n/m",G100/G101))</s:f>
        <s:v>2.2110543251940187</s:v>
      </s:c>
      <s:c r="H35" s="25">
        <s:f>IF(COUNT(H100,H101)&lt;2,"n/a",IF(H101=0,"n/m",H100/H101))</s:f>
        <s:v>1.0296249356410154</s:v>
      </s:c>
      <s:c r="I35" s="25">
        <s:f>IF(COUNT(I100,I101)&lt;2,"n/a",IF(I101=0,"n/m",I100/I101))</s:f>
        <s:v>0.8189370877727042</s:v>
      </s:c>
      <s:c r="J35" s="25">
        <s:f>IF(COUNT(J100,J101)&lt;2,"n/a",IF(J101=0,"n/m",J100/J101))</s:f>
        <s:v>0.7041987908369849</s:v>
      </s:c>
      <s:c r="K35" s="25">
        <s:f>IF(COUNT(K100,K101)&lt;2,"n/a",IF(K101=0,"n/m",K100/K101))</s:f>
        <s:v>0.7549503858875414</s:v>
      </s:c>
      <s:c r="L35" s="25">
        <s:f>IF(COUNT(L100,L101)&lt;2,"n/a",IF(L101=0,"n/m",L100/L101))</s:f>
        <s:v>1.4743892828999212</s:v>
      </s:c>
      <s:c r="M35" s="25">
        <s:f>IF(COUNT(M100,M101)&lt;2,"n/a",IF(M101=0,"n/m",M100/M101))</s:f>
        <s:v>0.3691038620172478</s:v>
      </s:c>
    </s:row>
    <s:row r="36" ht="24" customHeight="1">
      <s:c r="A36" s="2" t="inlineStr">
        <s:is>
          <s:t>Quick ratio</s:t>
        </s:is>
      </s:c>
      <s:c r="B36" s="25">
        <s:f>IF(COUNT(B107,B108,B101)&lt;3,"n/a",IF(B101=0,"n/m",(B107+B108)/B101))</s:f>
        <s:v>0.1968441977967365</s:v>
      </s:c>
      <s:c r="C36" s="25">
        <s:f>IF(COUNT(C107,C108,C101)&lt;3,"n/a",IF(C101=0,"n/m",(C107+C108)/C101))</s:f>
        <s:v>0.2769363911726525</s:v>
      </s:c>
      <s:c r="D36" s="25">
        <s:f>IF(COUNT(D107,D108,D101)&lt;3,"n/a",IF(D101=0,"n/m",(D107+D108)/D101))</s:f>
        <s:v>0.3909598466050079</s:v>
      </s:c>
      <s:c r="E36" s="25">
        <s:f>IF(COUNT(E107,E108,E101)&lt;3,"n/a",IF(E101=0,"n/m",(E107+E108)/E101))</s:f>
        <s:v>0.20857611388297687</s:v>
      </s:c>
      <s:c r="F36" s="25">
        <s:f>IF(COUNT(F107,F108,F101)&lt;3,"n/a",IF(F101=0,"n/m",(F107+F108)/F101))</s:f>
        <s:v>0.09889641200618436</s:v>
      </s:c>
      <s:c r="G36" s="25">
        <s:f>IF(COUNT(G107,G108,G101)&lt;3,"n/a",IF(G101=0,"n/m",(G107+G108)/G101))</s:f>
        <s:v>1.3125118303993943</s:v>
      </s:c>
      <s:c r="H36" s="25">
        <s:f>IF(COUNT(H107,H108,H101)&lt;3,"n/a",IF(H101=0,"n/m",(H107+H108)/H101))</s:f>
        <s:v>0.7184442948235573</s:v>
      </s:c>
      <s:c r="I36" s="25">
        <s:f>IF(COUNT(I107,I108,I101)&lt;3,"n/a",IF(I101=0,"n/m",(I107+I108)/I101))</s:f>
        <s:v>0.5629439370877727</s:v>
      </s:c>
      <s:c r="J36" s="25">
        <s:f>IF(COUNT(J107,J108,J101)&lt;3,"n/a",IF(J101=0,"n/m",(J107+J108)/J101))</s:f>
        <s:v>0.43654667480170833</s:v>
      </s:c>
      <s:c r="K36" s="25">
        <s:f>IF(COUNT(K107,K108,K101)&lt;3,"n/a",IF(K101=0,"n/m",(K107+K108)/K101))</s:f>
        <s:v>0.5244762954796031</s:v>
      </s:c>
      <s:c r="L36" s="25">
        <s:f>IF(COUNT(L107,L108,L101)&lt;3,"n/a",IF(L101=0,"n/m",(L107+L108)/L101))</s:f>
        <s:v>1.1678486997635933</s:v>
      </s:c>
      <s:c r="M36" s="25">
        <s:f>IF(COUNT(M107,M108,M101)&lt;3,"n/a",IF(M101=0,"n/m",(M107+M108)/M101))</s:f>
        <s:v>0.23595800524934382</s:v>
      </s:c>
    </s:row>
    <s:row r="37" ht="8" customHeight="1">
      <s:c r="A37" s="2" t="n"/>
      <s:c r="B37" s="3" t="n"/>
      <s:c r="C37" s="3" t="n"/>
      <s:c r="D37" s="3" t="n"/>
      <s:c r="E37" s="3" t="n"/>
      <s:c r="F37" s="3" t="n"/>
      <s:c r="G37" s="3" t="n"/>
      <s:c r="H37" s="3" t="n"/>
      <s:c r="I37" s="3" t="n"/>
      <s:c r="J37" s="3" t="n"/>
      <s:c r="K37" s="3" t="n"/>
      <s:c r="L37" s="3" t="n"/>
      <s:c r="M37" s="3" t="n"/>
    </s:row>
    <s:row r="38" ht="24" customHeight="1">
      <s:c r="A38" s="26" t="inlineStr">
        <s:is>
          <s:t>Leverage</s:t>
        </s:is>
      </s:c>
      <s:c r="B38" s="3" t="n"/>
      <s:c r="C38" s="3" t="n"/>
      <s:c r="D38" s="3" t="n"/>
      <s:c r="E38" s="3" t="n"/>
      <s:c r="F38" s="3" t="n"/>
      <s:c r="G38" s="3" t="n"/>
      <s:c r="H38" s="3" t="n"/>
      <s:c r="I38" s="3" t="n"/>
      <s:c r="J38" s="3" t="n"/>
      <s:c r="K38" s="3" t="n"/>
      <s:c r="L38" s="3" t="n"/>
      <s:c r="M38" s="3" t="n"/>
    </s:row>
    <s:row r="39" ht="24" customHeight="1">
      <s:c r="A39" s="2" t="inlineStr">
        <s:is>
          <s:t>Debt / equity</s:t>
        </s:is>
      </s:c>
      <s:c r="B39" s="25">
        <s:f>IF(COUNT(B105,B98)&lt;2,"n/a",IF(B98=0,"n/m",B105/B98))</s:f>
        <s:v>0.6604990495863229</s:v>
      </s:c>
      <s:c r="C39" s="25">
        <s:f>IF(COUNT(C105,C98)&lt;2,"n/a",IF(C98=0,"n/m",C105/C98))</s:f>
        <s:v>1.3551752352379653</s:v>
      </s:c>
      <s:c r="D39" s="25">
        <s:f>IF(COUNT(D105,D98)&lt;2,"n/a",IF(D98=0,"n/m",D105/D98))</s:f>
        <s:v>0.3458216916433833</s:v>
      </s:c>
      <s:c r="E39" s="25">
        <s:f>IF(COUNT(E105,E98)&lt;2,"n/a",IF(E98=0,"n/m",E105/E98))</s:f>
        <s:v>9.381024096385541</s:v>
      </s:c>
      <s:c r="F39" s="25">
        <s:f>IF(COUNT(F105,F98)&lt;2,"n/a",IF(F98=0,"n/m",F105/F98))</s:f>
        <s:v>-2.7881385707258803</s:v>
      </s:c>
      <s:c r="G39" s="25">
        <s:f>IF(COUNT(G105,G98)&lt;2,"n/a",IF(G98=0,"n/m",G105/G98))</s:f>
        <s:v>0.8334973132521002</s:v>
      </s:c>
      <s:c r="H39" s="25">
        <s:f>IF(COUNT(H105,H98)&lt;2,"n/a",IF(H98=0,"n/m",H105/H98))</s:f>
        <s:v>1.7911972964274219</s:v>
      </s:c>
      <s:c r="I39" s="25">
        <s:f>IF(COUNT(I105,I98)&lt;2,"n/a",IF(I98=0,"n/m",I105/I98))</s:f>
        <s:v>2.491436173161133</s:v>
      </s:c>
      <s:c r="J39" s="25">
        <s:f>IF(COUNT(J105,J98)&lt;2,"n/a",IF(J98=0,"n/m",J105/J98))</s:f>
        <s:v>0.6818234253633777</s:v>
      </s:c>
      <s:c r="K39" s="25">
        <s:f>IF(COUNT(K105,K98)&lt;2,"n/a",IF(K98=0,"n/m",K105/K98))</s:f>
        <s:v>-3.464014820980279</s:v>
      </s:c>
      <s:c r="L39" s="25">
        <s:f>IF(COUNT(L105,L98)&lt;2,"n/a",IF(L98=0,"n/m",L105/L98))</s:f>
        <s:v>-1.6064330543933054</s:v>
      </s:c>
      <s:c r="M39" s="25">
        <s:f>IF(COUNT(M105,M98)&lt;2,"n/a",IF(M98=0,"n/m",M105/M98))</s:f>
        <s:v>1.4889818871379061</s:v>
      </s:c>
    </s:row>
    <s:row r="40" ht="24" customHeight="1">
      <s:c r="A40" s="2" t="inlineStr">
        <s:is>
          <s:t>Equity multiplier</s:t>
        </s:is>
      </s:c>
      <s:c r="B40" s="25">
        <s:f>IF(COUNT(B97,B98)&lt;2,"n/a",IF(B98=0,"n/m",B97/B98))</s:f>
        <s:v>2.86577741641304</s:v>
      </s:c>
      <s:c r="C40" s="25">
        <s:f>IF(COUNT(C97,C98)&lt;2,"n/a",IF(C98=0,"n/m",C97/C98))</s:f>
        <s:v>3.9389744988408566</s:v>
      </s:c>
      <s:c r="D40" s="25">
        <s:f>IF(COUNT(D97,D98)&lt;2,"n/a",IF(D98=0,"n/m",D97/D98))</s:f>
        <s:v>2.956184912369825</s:v>
      </s:c>
      <s:c r="E40" s="25">
        <s:f>IF(COUNT(E97,E98)&lt;2,"n/a",IF(E98=0,"n/m",E97/E98))</s:f>
        <s:v>14.475753012048193</s:v>
      </s:c>
      <s:c r="F40" s="25">
        <s:f>IF(COUNT(F97,F98)&lt;2,"n/a",IF(F98=0,"n/m",F97/F98))</s:f>
        <s:v>-3.028740074485279</s:v>
      </s:c>
      <s:c r="G40" s="25">
        <s:f>IF(COUNT(G97,G98)&lt;2,"n/a",IF(G98=0,"n/m",G97/G98))</s:f>
        <s:v>2.7684098993415573</s:v>
      </s:c>
      <s:c r="H40" s="25">
        <s:f>IF(COUNT(H97,H98)&lt;2,"n/a",IF(H98=0,"n/m",H97/H98))</s:f>
        <s:v>4.045260701641455</s:v>
      </s:c>
      <s:c r="I40" s="25">
        <s:f>IF(COUNT(I97,I98)&lt;2,"n/a",IF(I98=0,"n/m",I97/I98))</s:f>
        <s:v>5.513386175932598</s:v>
      </s:c>
      <s:c r="J40" s="25">
        <s:f>IF(COUNT(J97,J98)&lt;2,"n/a",IF(J98=0,"n/m",J97/J98))</s:f>
        <s:v>2.4077328308851804</s:v>
      </s:c>
      <s:c r="K40" s="25">
        <s:f>IF(COUNT(K97,K98)&lt;2,"n/a",IF(K98=0,"n/m",K97/K98))</s:f>
        <s:v>-4.207238652686974</s:v>
      </s:c>
      <s:c r="L40" s="25">
        <s:f>IF(COUNT(L97,L98)&lt;2,"n/a",IF(L98=0,"n/m",L97/L98))</s:f>
        <s:v>-0.8795763598326359</s:v>
      </s:c>
      <s:c r="M40" s="25">
        <s:f>IF(COUNT(M97,M98)&lt;2,"n/a",IF(M98=0,"n/m",M97/M98))</s:f>
        <s:v>4.928529392532531</s:v>
      </s:c>
    </s:row>
    <s:row r="41" ht="24" customHeight="1">
      <s:c r="A41" s="2" t="inlineStr">
        <s:is>
          <s:t>Interest coverage</s:t>
        </s:is>
      </s:c>
      <s:c r="B41" s="25">
        <s:f>IF(COUNT(B99,B104)&lt;2,"n/a",IF(B104=0,"n/m",B99/B104))</s:f>
        <s:v>10.644061583577713</s:v>
      </s:c>
      <s:c r="C41" s="25">
        <s:f>IF(COUNT(C99,C104)&lt;2,"n/a",IF(C104=0,"n/m",C99/C104))</s:f>
        <s:v>13.800486618004866</s:v>
      </s:c>
      <s:c r="D41" s="25">
        <s:f>IF(COUNT(D99,D104)&lt;2,"n/a",IF(D104=0,"n/m",D99/D104))</s:f>
        <s:v>58.633136094674555</s:v>
      </s:c>
      <s:c r="E41" s="25">
        <s:f>IF(COUNT(E99,E104)&lt;2,"n/a",IF(E104=0,"n/m",E99/E104))</s:f>
        <s:v>9.361051271003877</s:v>
      </s:c>
      <s:c r="F41" s="25">
        <s:f>IF(COUNT(F99,F104)&lt;2,"n/a",IF(F104=0,"n/m",F99/F104))</s:f>
        <s:v>7.218070652173913</s:v>
      </s:c>
      <s:c r="G41" s="25">
        <s:f>IF(COUNT(G99,G104)&lt;2,"n/a",IF(G104=0,"n/m",G99/G104))</s:f>
        <s:v>12.464646464646465</s:v>
      </s:c>
      <s:c r="H41" s="25">
        <s:f>IF(COUNT(H99,H104)&lt;2,"n/a",IF(H104=0,"n/m",H99/H104))</s:f>
        <s:v>8.902173913043478</s:v>
      </s:c>
      <s:c r="I41" s="25">
        <s:f>IF(COUNT(I99,I104)&lt;2,"n/a",IF(I104=0,"n/m",I99/I104))</s:f>
        <s:v>13.998911860718172</s:v>
      </s:c>
      <s:c r="J41" s="25">
        <s:f>IF(COUNT(J99,J104)&lt;2,"n/a",IF(J104=0,"n/m",J99/J104))</s:f>
        <s:v>23.2348401323043</s:v>
      </s:c>
      <s:c r="K41" s="25">
        <s:f>IF(COUNT(K99,K104)&lt;2,"n/a",IF(K104=0,"n/m",K99/K104))</s:f>
        <s:v>9.84270462633452</s:v>
      </s:c>
      <s:c r="L41" s="25">
        <s:f>IF(COUNT(L99,L104)&lt;2,"n/a",IF(L104=0,"n/m",L99/L104))</s:f>
        <s:v>4.885480572597137</s:v>
      </s:c>
      <s:c r="M41" s="25">
        <s:f>IF(COUNT(M99,M104)&lt;2,"n/a",IF(M104=0,"n/m",M99/M104))</s:f>
        <s:v>7.235609103078983</s:v>
      </s:c>
    </s:row>
    <s:row r="42" ht="8" customHeight="1">
      <s:c r="A42" s="2" t="n"/>
      <s:c r="B42" s="3" t="n"/>
      <s:c r="C42" s="3" t="n"/>
      <s:c r="D42" s="3" t="n"/>
      <s:c r="E42" s="3" t="n"/>
      <s:c r="F42" s="3" t="n"/>
      <s:c r="G42" s="3" t="n"/>
      <s:c r="H42" s="3" t="n"/>
      <s:c r="I42" s="3" t="n"/>
      <s:c r="J42" s="3" t="n"/>
      <s:c r="K42" s="3" t="n"/>
      <s:c r="L42" s="3" t="n"/>
      <s:c r="M42" s="3" t="n"/>
    </s:row>
    <s:row r="43" ht="24" customHeight="1">
      <s:c r="A43" s="26" t="inlineStr">
        <s:is>
          <s:t>Efficiency</s:t>
        </s:is>
      </s:c>
      <s:c r="B43" s="3" t="n"/>
      <s:c r="C43" s="3" t="n"/>
      <s:c r="D43" s="3" t="n"/>
      <s:c r="E43" s="3" t="n"/>
      <s:c r="F43" s="3" t="n"/>
      <s:c r="G43" s="3" t="n"/>
      <s:c r="H43" s="3" t="n"/>
      <s:c r="I43" s="3" t="n"/>
      <s:c r="J43" s="3" t="n"/>
      <s:c r="K43" s="3" t="n"/>
      <s:c r="L43" s="3" t="n"/>
      <s:c r="M43" s="3" t="n"/>
    </s:row>
    <s:row r="44" ht="24" customHeight="1">
      <s:c r="A44" s="2" t="inlineStr">
        <s:is>
          <s:t>Asset turnover</s:t>
        </s:is>
      </s:c>
      <s:c r="B44" s="25">
        <s:f>IF(COUNT(B95,B97)&lt;2,"n/a",IF(B97=0,"n/m",B95/B97))</s:f>
        <s:v>2.610908547175671</s:v>
      </s:c>
      <s:c r="C44" s="25">
        <s:f>IF(COUNT(C95,C97)&lt;2,"n/a",IF(C97=0,"n/m",C95/C97))</s:f>
        <s:v>1.8446917897142066</s:v>
      </s:c>
      <s:c r="D44" s="25">
        <s:f>IF(COUNT(D95,D97)&lt;2,"n/a",IF(D97=0,"n/m",D95/D97))</s:f>
        <s:v>3.6438401283097765</s:v>
      </s:c>
      <s:c r="E44" s="25">
        <s:f>IF(COUNT(E95,E97)&lt;2,"n/a",IF(E97=0,"n/m",E95/E97))</s:f>
        <s:v>1.65954701983999</s:v>
      </s:c>
      <s:c r="F44" s="25">
        <s:f>IF(COUNT(F95,F97)&lt;2,"n/a",IF(F97=0,"n/m",F95/F97))</s:f>
        <s:v>1.9413020277481323</s:v>
      </s:c>
      <s:c r="G44" s="25">
        <s:f>IF(COUNT(G95,G97)&lt;2,"n/a",IF(G97=0,"n/m",G95/G97))</s:f>
        <s:v>1.2659996172667378</s:v>
      </s:c>
      <s:c r="H44" s="25">
        <s:f>IF(COUNT(H95,H97)&lt;2,"n/a",IF(H97=0,"n/m",H95/H97))</s:f>
        <s:v>0.46804045788620474</s:v>
      </s:c>
      <s:c r="I44" s="25">
        <s:f>IF(COUNT(I95,I97)&lt;2,"n/a",IF(I97=0,"n/m",I95/I97))</s:f>
        <s:v>0.9234620527411102</s:v>
      </s:c>
      <s:c r="J44" s="25">
        <s:f>IF(COUNT(J95,J97)&lt;2,"n/a",IF(J97=0,"n/m",J95/J97))</s:f>
        <s:v>0.6730282438054476</s:v>
      </s:c>
      <s:c r="K44" s="25">
        <s:f>IF(COUNT(K95,K97)&lt;2,"n/a",IF(K97=0,"n/m",K95/K97))</s:f>
        <s:v>1.154339758705523</s:v>
      </s:c>
      <s:c r="L44" s="25">
        <s:f>IF(COUNT(L95,L97)&lt;2,"n/a",IF(L97=0,"n/m",L95/L97))</s:f>
        <s:v>1.1221941430057976</s:v>
      </s:c>
      <s:c r="M44" s="25">
        <s:f>IF(COUNT(M95,M97)&lt;2,"n/a",IF(M97=0,"n/m",M95/M97))</s:f>
        <s:v>0.8178501300217588</s:v>
      </s:c>
    </s:row>
    <s:row r="45" ht="24" customHeight="1">
      <s:c r="A45" s="2" t="inlineStr">
        <s:is>
          <s:t>Inventory turnover</s:t>
        </s:is>
      </s:c>
      <s:c r="B45" s="25">
        <s:f>IF(COUNT(B103,B106)&lt;2,"n/a",IF(B106=0,"n/m",B103/B106))</s:f>
        <s:v>9.06800744219013</s:v>
      </s:c>
      <s:c r="C45" s="25">
        <s:f>IF(COUNT(C103,C106)&lt;2,"n/a",IF(C106=0,"n/m",C103/C106))</s:f>
        <s:v>6.004866562009419</s:v>
      </s:c>
      <s:c r="D45" s="25">
        <s:f>IF(COUNT(D103,D106)&lt;2,"n/a",IF(D106=0,"n/m",D103/D106))</s:f>
        <s:v>11.924599131227543</s:v>
      </s:c>
      <s:c r="E45" s="25">
        <s:f>IF(COUNT(E103,E106)&lt;2,"n/a",IF(E106=0,"n/m",E103/E106))</s:f>
        <s:v>4.52884738390687</s:v>
      </s:c>
      <s:c r="F45" s="25">
        <s:f>IF(COUNT(F103,F106)&lt;2,"n/a",IF(F106=0,"n/m",F103/F106))</s:f>
        <s:v>3.2050663449939685</s:v>
      </s:c>
      <s:c r="G45" s="25">
        <s:f>IF(COUNT(G103,G106)&lt;2,"n/a",IF(G106=0,"n/m",G103/G106))</s:f>
        <s:v>3.5410602216584324</s:v>
      </s:c>
      <s:c r="H45" s="25">
        <s:f>IF(COUNT(H103,H106)&lt;2,"n/a",IF(H106=0,"n/m",H103/H106))</s:f>
        <s:v>3.8756345177664975</s:v>
      </s:c>
      <s:c r="I45" s="25">
        <s:f>IF(COUNT(I103,I106)&lt;2,"n/a",IF(I106=0,"n/m",I103/I106))</s:f>
        <s:v>7.867320015077271</s:v>
      </s:c>
      <s:c r="J45" s="25">
        <s:f>IF(COUNT(J103,J106)&lt;2,"n/a",IF(J106=0,"n/m",J103/J106))</s:f>
        <s:v>5.451463382333466</s:v>
      </s:c>
      <s:c r="K45" s="25">
        <s:f>IF(COUNT(K103,K106)&lt;2,"n/a",IF(K106=0,"n/m",K103/K106))</s:f>
        <s:v>14.89174590671243</s:v>
      </s:c>
      <s:c r="L45" s="25" t="str">
        <s:f>IF(COUNT(L103,L106)&lt;2,"n/a",IF(L106=0,"n/m",L103/L106))</s:f>
        <s:v>n/a</s:v>
      </s:c>
      <s:c r="M45" s="25">
        <s:f>IF(COUNT(M103,M106)&lt;2,"n/a",IF(M106=0,"n/m",M103/M106))</s:f>
        <s:v>32.54551820728291</s:v>
      </s:c>
    </s:row>
    <s:row r="46" ht="8" customHeight="1">
      <s:c r="A46" s="2" t="n"/>
      <s:c r="B46" s="3" t="n"/>
      <s:c r="C46" s="3" t="n"/>
      <s:c r="D46" s="3" t="n"/>
      <s:c r="E46" s="3" t="n"/>
      <s:c r="F46" s="3" t="n"/>
      <s:c r="G46" s="3" t="n"/>
      <s:c r="H46" s="3" t="n"/>
      <s:c r="I46" s="3" t="n"/>
      <s:c r="J46" s="3" t="n"/>
      <s:c r="K46" s="3" t="n"/>
      <s:c r="L46" s="3" t="n"/>
      <s:c r="M46" s="3" t="n"/>
    </s:row>
    <s:row r="47" ht="8" customHeight="1">
      <s:c r="A47" s="2" t="n"/>
      <s:c r="B47" s="3" t="n"/>
      <s:c r="C47" s="3" t="n"/>
      <s:c r="D47" s="3" t="n"/>
      <s:c r="E47" s="3" t="n"/>
      <s:c r="F47" s="3" t="n"/>
      <s:c r="G47" s="3" t="n"/>
      <s:c r="H47" s="3" t="n"/>
      <s:c r="I47" s="3" t="n"/>
      <s:c r="J47" s="3" t="n"/>
      <s:c r="K47" s="3" t="n"/>
      <s:c r="L47" s="3" t="n"/>
      <s:c r="M47" s="3" t="n"/>
    </s:row>
    <s:row r="48" ht="8" customHeight="1">
      <s:c r="A48" s="2" t="n"/>
      <s:c r="B48" s="3" t="n"/>
      <s:c r="C48" s="3" t="n"/>
      <s:c r="D48" s="3" t="n"/>
      <s:c r="E48" s="3" t="n"/>
      <s:c r="F48" s="3" t="n"/>
      <s:c r="G48" s="3" t="n"/>
      <s:c r="H48" s="3" t="n"/>
      <s:c r="I48" s="3" t="n"/>
      <s:c r="J48" s="3" t="n"/>
      <s:c r="K48" s="3" t="n"/>
      <s:c r="L48" s="3" t="n"/>
      <s:c r="M48" s="3" t="n"/>
    </s:row>
    <s:row r="49" ht="24" customHeight="1">
      <s:c r="A49" s="7" t="inlineStr">
        <s:is>
          <s:t>Two years prior</s:t>
        </s:is>
      </s:c>
      <s:c r="B49" s="17" t="n">
        <s:v>45322</s:v>
      </s:c>
      <s:c r="C49" s="17" t="n">
        <s:v>45322</s:v>
      </s:c>
      <s:c r="D49" s="17" t="n">
        <s:v>45169</s:v>
      </s:c>
      <s:c r="E49" s="17" t="n">
        <s:v>45322</s:v>
      </s:c>
      <s:c r="F49" s="17" t="n">
        <s:v>45322</s:v>
      </s:c>
      <s:c r="G49" s="17" t="n">
        <s:v>45443</s:v>
      </s:c>
      <s:c r="H49" s="17" t="n">
        <s:v>45291</s:v>
      </s:c>
      <s:c r="I49" s="17" t="n">
        <s:v>45291</s:v>
      </s:c>
      <s:c r="J49" s="17" t="n">
        <s:v>45473</s:v>
      </s:c>
      <s:c r="K49" s="17" t="n">
        <s:v>45199</s:v>
      </s:c>
      <s:c r="L49" s="17" t="n">
        <s:v>45291</s:v>
      </s:c>
      <s:c r="M49" s="17" t="n">
        <s:v>45291</s:v>
      </s:c>
    </s:row>
    <s:row r="50" ht="24" customHeight="1">
      <s:c r="A50" s="26" t="inlineStr">
        <s:is>
          <s:t>Profitability</s:t>
        </s:is>
      </s:c>
      <s:c r="B50" s="3" t="n"/>
      <s:c r="C50" s="3" t="n"/>
      <s:c r="D50" s="3" t="n"/>
      <s:c r="E50" s="3" t="n"/>
      <s:c r="F50" s="3" t="n"/>
      <s:c r="G50" s="3" t="n"/>
      <s:c r="H50" s="3" t="n"/>
      <s:c r="I50" s="3" t="n"/>
      <s:c r="J50" s="3" t="n"/>
      <s:c r="K50" s="3" t="n"/>
      <s:c r="L50" s="3" t="n"/>
      <s:c r="M50" s="3" t="n"/>
    </s:row>
    <s:row r="51" ht="24" customHeight="1">
      <s:c r="A51" s="2" t="inlineStr">
        <s:is>
          <s:t>Gross margin</s:t>
        </s:is>
      </s:c>
      <s:c r="B51" s="21">
        <s:f>IF(COUNT(B120,B113)&lt;2,"n/a",IF(B113=0,"n/m",B120/B113))</s:f>
        <s:v>0.24375390549662487</s:v>
      </s:c>
      <s:c r="C51" s="21">
        <s:f>IF(COUNT(C120,C113)&lt;2,"n/a",IF(C113=0,"n/m",C120/C113))</s:f>
        <s:v>0.2754254645663427</s:v>
      </s:c>
      <s:c r="D51" s="21">
        <s:f>IF(COUNT(D120,D113)&lt;2,"n/a",IF(D113=0,"n/m",D120/D113))</s:f>
        <s:v>0.12259688802674482</s:v>
      </s:c>
      <s:c r="E51" s="21">
        <s:f>IF(COUNT(E120,E113)&lt;2,"n/a",IF(E113=0,"n/m",E120/E113))</s:f>
        <s:v>0.33379402498215094</s:v>
      </s:c>
      <s:c r="F51" s="21">
        <s:f>IF(COUNT(F120,F113)&lt;2,"n/a",IF(F113=0,"n/m",F120/F113))</s:f>
        <s:v>0.3339314863910532</s:v>
      </s:c>
      <s:c r="G51" s="21">
        <s:f>IF(COUNT(G120,G113)&lt;2,"n/a",IF(G113=0,"n/m",G120/G113))</s:f>
        <s:v>0.445601806783225</s:v>
      </s:c>
      <s:c r="H51" s="21">
        <s:f>IF(COUNT(H120,H113)&lt;2,"n/a",IF(H113=0,"n/m",H120/H113))</s:f>
        <s:v>0.5952266468505486</s:v>
      </s:c>
      <s:c r="I51" s="21">
        <s:f>IF(COUNT(I120,I113)&lt;2,"n/a",IF(I113=0,"n/m",I120/I113))</s:f>
        <s:v>0.5421390386023985</s:v>
      </s:c>
      <s:c r="J51" s="21">
        <s:f>IF(COUNT(J120,J113)&lt;2,"n/a",IF(J113=0,"n/m",J120/J113))</s:f>
        <s:v>0.5139399564487916</s:v>
      </s:c>
      <s:c r="K51" s="21">
        <s:f>IF(COUNT(K120,K113)&lt;2,"n/a",IF(K113=0,"n/m",K120/K113))</s:f>
        <s:v>0.27369105727215115</s:v>
      </s:c>
      <s:c r="L51" s="21">
        <s:f>IF(COUNT(L120,L113)&lt;2,"n/a",IF(L113=0,"n/m",L120/L113))</s:f>
        <s:v>0.49406444318824194</s:v>
      </s:c>
      <s:c r="M51" s="21">
        <s:f>IF(COUNT(M120,M113)&lt;2,"n/a",IF(M113=0,"n/m",M120/M113))</s:f>
        <s:v>0.24350537486218302</s:v>
      </s:c>
    </s:row>
    <s:row r="52" ht="24" customHeight="1">
      <s:c r="A52" s="2" t="inlineStr">
        <s:is>
          <s:t>Net profit margin</s:t>
        </s:is>
      </s:c>
      <s:c r="B52" s="21">
        <s:f>IF(COUNT(B114,B113)&lt;2,"n/a",IF(B113=0,"n/m",B114/B113))</s:f>
        <s:v>0.023932111861137896</s:v>
      </s:c>
      <s:c r="C52" s="21">
        <s:f>IF(COUNT(C114,C113)&lt;2,"n/a",IF(C113=0,"n/m",C114/C113))</s:f>
        <s:v>0.03852455963951886</s:v>
      </s:c>
      <s:c r="D52" s="21">
        <s:f>IF(COUNT(D114,D113)&lt;2,"n/a",IF(D113=0,"n/m",D114/D113))</s:f>
        <s:v>0.025968880267448098</s:v>
      </s:c>
      <s:c r="E52" s="21">
        <s:f>IF(COUNT(E114,E113)&lt;2,"n/a",IF(E113=0,"n/m",E114/E113))</s:f>
        <s:v>0.09918844035134834</s:v>
      </s:c>
      <s:c r="F52" s="21">
        <s:f>IF(COUNT(F114,F113)&lt;2,"n/a",IF(F113=0,"n/m",F114/F113))</s:f>
        <s:v>0.08944510691503525</s:v>
      </s:c>
      <s:c r="G52" s="21">
        <s:f>IF(COUNT(G114,G113)&lt;2,"n/a",IF(G113=0,"n/m",G114/G113))</s:f>
        <s:v>0.11097698687745804</s:v>
      </s:c>
      <s:c r="H52" s="21">
        <s:f>IF(COUNT(H114,H113)&lt;2,"n/a",IF(H113=0,"n/m",H114/H113))</s:f>
        <s:v>0.23416531887922368</s:v>
      </s:c>
      <s:c r="I52" s="21">
        <s:f>IF(COUNT(I114,I113)&lt;2,"n/a",IF(I113=0,"n/m",I114/I113))</s:f>
        <s:v>0.09920083961036831</s:v>
      </s:c>
      <s:c r="J52" s="21">
        <s:f>IF(COUNT(J114,J113)&lt;2,"n/a",IF(J113=0,"n/m",J114/J113))</s:f>
        <s:v>0.17704875117504967</s:v>
      </s:c>
      <s:c r="K52" s="21">
        <s:f>IF(COUNT(K114,K113)&lt;2,"n/a",IF(K113=0,"n/m",K114/K113))</s:f>
        <s:v>0.11464714973482026</s:v>
      </s:c>
      <s:c r="L52" s="21">
        <s:f>IF(COUNT(L114,L113)&lt;2,"n/a",IF(L113=0,"n/m",L114/L113))</s:f>
        <s:v>0.22569248162803843</s:v>
      </s:c>
      <s:c r="M52" s="21">
        <s:f>IF(COUNT(M114,M113)&lt;2,"n/a",IF(M113=0,"n/m",M114/M113))</s:f>
        <s:v>0.07939980705622933</s:v>
      </s:c>
    </s:row>
    <s:row r="53" ht="24" customHeight="1">
      <s:c r="A53" s="2" t="inlineStr">
        <s:is>
          <s:t>ROA</s:t>
        </s:is>
      </s:c>
      <s:c r="B53" s="21">
        <s:f>IF(COUNT(B114,B122,B115)&lt;3,"n/a",IF(B115=0,"n/m",(B114+B122)/B115))</s:f>
        <s:v>0.07208427925625696</s:v>
      </s:c>
      <s:c r="C53" s="21">
        <s:f>IF(COUNT(C114,C122,C115)&lt;3,"n/a",IF(C115=0,"n/m",(C114+C122)/C115))</s:f>
        <s:v>0.08382108533853602</s:v>
      </s:c>
      <s:c r="D53" s="21">
        <s:f>IF(COUNT(D114,D122,D115)&lt;3,"n/a",IF(D115=0,"n/m",(D114+D122)/D115))</s:f>
        <s:v>0.09351537814882453</s:v>
      </s:c>
      <s:c r="E53" s="21">
        <s:f>IF(COUNT(E114,E122,E115)&lt;3,"n/a",IF(E115=0,"n/m",(E114+E122)/E115))</s:f>
        <s:v>0.22325885273748858</s:v>
      </s:c>
      <s:c r="F53" s="21">
        <s:f>IF(COUNT(F114,F122,F115)&lt;3,"n/a",IF(F115=0,"n/m",(F114+F122)/F115))</s:f>
        <s:v>0.22033736092834072</s:v>
      </s:c>
      <s:c r="G53" s="21">
        <s:f>IF(COUNT(G114,G122,G115)&lt;3,"n/a",IF(G115=0,"n/m",(G114+G122)/G115))</s:f>
        <s:v>0.15662555759643138</s:v>
      </s:c>
      <s:c r="H53" s="21">
        <s:f>IF(COUNT(H114,H122,H115)&lt;3,"n/a",IF(H115=0,"n/m",(H114+H122)/H115))</s:f>
        <s:v>0.1252878621946102</s:v>
      </s:c>
      <s:c r="I53" s="21">
        <s:f>IF(COUNT(I114,I122,I115)&lt;3,"n/a",IF(I115=0,"n/m",(I114+I122)/I115))</s:f>
        <s:v>0.09844270859246729</s:v>
      </s:c>
      <s:c r="J53" s="21">
        <s:f>IF(COUNT(J114,J122,J115)&lt;3,"n/a",IF(J115=0,"n/m",(J114+J122)/J115))</s:f>
        <s:v>0.12914930129933808</s:v>
      </s:c>
      <s:c r="K53" s="21">
        <s:f>IF(COUNT(K114,K122,K115)&lt;3,"n/a",IF(K115=0,"n/m",(K114+K122)/K115))</s:f>
        <s:v>0.15875430880779745</s:v>
      </s:c>
      <s:c r="L53" s="21">
        <s:f>IF(COUNT(L114,L122,L115)&lt;3,"n/a",IF(L115=0,"n/m",(L114+L122)/L115))</s:f>
        <s:v>0.3386294334777724</s:v>
      </s:c>
      <s:c r="M53" s="21">
        <s:f>IF(COUNT(M114,M122,M115)&lt;3,"n/a",IF(M115=0,"n/m",(M114+M122)/M115))</s:f>
        <s:v>0.07390961924936179</s:v>
      </s:c>
    </s:row>
    <s:row r="54" ht="24" customHeight="1">
      <s:c r="A54" s="2" t="inlineStr">
        <s:is>
          <s:t>ROE</s:t>
        </s:is>
      </s:c>
      <s:c r="B54" s="21">
        <s:f>IF(COUNT(B114,B116)&lt;2,"n/a",IF(B116=0,"n/m",B114/B116))</s:f>
        <s:v>0.18496082803687053</s:v>
      </s:c>
      <s:c r="C54" s="21">
        <s:f>IF(COUNT(C114,C116)&lt;2,"n/a",IF(C116=0,"n/m",C114/C116))</s:f>
        <s:v>0.30807027992852887</s:v>
      </s:c>
      <s:c r="D54" s="21">
        <s:f>IF(COUNT(D114,D116)&lt;2,"n/a",IF(D116=0,"n/m",D114/D116))</s:f>
        <s:v>0.2510974539069359</s:v>
      </s:c>
      <s:c r="E54" s="21">
        <s:f>IF(COUNT(E114,E116)&lt;2,"n/a",IF(E116=0,"n/m",E114/E116))</s:f>
        <s:v>14.504789272030651</s:v>
      </s:c>
      <s:c r="F54" s="21">
        <s:f>IF(COUNT(F114,F116)&lt;2,"n/a",IF(F116=0,"n/m",F114/F116))</s:f>
        <s:v>-0.5133554817275747</s:v>
      </s:c>
      <s:c r="G54" s="21">
        <s:f>IF(COUNT(G114,G116)&lt;2,"n/a",IF(G116=0,"n/m",G114/G116))</s:f>
        <s:v>0.39501039501039503</s:v>
      </s:c>
      <s:c r="H54" s="21">
        <s:f>IF(COUNT(H114,H116)&lt;2,"n/a",IF(H116=0,"n/m",H114/H116))</s:f>
        <s:v>0.41301414748853166</s:v>
      </s:c>
      <s:c r="I54" s="21">
        <s:f>IF(COUNT(I114,I116)&lt;2,"n/a",IF(I116=0,"n/m",I114/I116))</s:f>
        <s:v>0.49040696103334597</s:v>
      </s:c>
      <s:c r="J54" s="21">
        <s:f>IF(COUNT(J114,J116)&lt;2,"n/a",IF(J116=0,"n/m",J114/J116))</s:f>
        <s:v>0.2958875233663445</s:v>
      </s:c>
      <s:c r="K54" s="21">
        <s:f>IF(COUNT(K114,K116)&lt;2,"n/a",IF(K116=0,"n/m",K114/K116))</s:f>
        <s:v>-0.5158978335918347</s:v>
      </s:c>
      <s:c r="L54" s="21">
        <s:f>IF(COUNT(L114,L116)&lt;2,"n/a",IF(L116=0,"n/m",L114/L116))</s:f>
        <s:v>-0.20323237465003818</s:v>
      </s:c>
      <s:c r="M54" s="21">
        <s:f>IF(COUNT(M114,M116)&lt;2,"n/a",IF(M116=0,"n/m",M114/M116))</s:f>
        <s:v>0.415038271049077</s:v>
      </s:c>
    </s:row>
    <s:row r="55" ht="8" customHeight="1">
      <s:c r="A55" s="2" t="n"/>
      <s:c r="B55" s="3" t="n"/>
      <s:c r="C55" s="3" t="n"/>
      <s:c r="D55" s="3" t="n"/>
      <s:c r="E55" s="3" t="n"/>
      <s:c r="F55" s="3" t="n"/>
      <s:c r="G55" s="3" t="n"/>
      <s:c r="H55" s="3" t="n"/>
      <s:c r="I55" s="3" t="n"/>
      <s:c r="J55" s="3" t="n"/>
      <s:c r="K55" s="3" t="n"/>
      <s:c r="L55" s="3" t="n"/>
      <s:c r="M55" s="3" t="n"/>
    </s:row>
    <s:row r="56" ht="24" customHeight="1">
      <s:c r="A56" s="26" t="inlineStr">
        <s:is>
          <s:t>Liquidity</s:t>
        </s:is>
      </s:c>
      <s:c r="B56" s="3" t="n"/>
      <s:c r="C56" s="3" t="n"/>
      <s:c r="D56" s="3" t="n"/>
      <s:c r="E56" s="3" t="n"/>
      <s:c r="F56" s="3" t="n"/>
      <s:c r="G56" s="3" t="n"/>
      <s:c r="H56" s="3" t="n"/>
      <s:c r="I56" s="3" t="n"/>
      <s:c r="J56" s="3" t="n"/>
      <s:c r="K56" s="3" t="n"/>
      <s:c r="L56" s="3" t="n"/>
      <s:c r="M56" s="3" t="n"/>
    </s:row>
    <s:row r="57" ht="24" customHeight="1">
      <s:c r="A57" s="2" t="inlineStr">
        <s:is>
          <s:t>Current ratio</s:t>
        </s:is>
      </s:c>
      <s:c r="B57" s="25">
        <s:f>IF(COUNT(B118,B119)&lt;2,"n/a",IF(B119=0,"n/m",B118/B119))</s:f>
        <s:v>0.8318671211383434</s:v>
      </s:c>
      <s:c r="C57" s="25">
        <s:f>IF(COUNT(C118,C119)&lt;2,"n/a",IF(C119=0,"n/m",C118/C119))</s:f>
        <s:v>0.9064442602569416</s:v>
      </s:c>
      <s:c r="D57" s="25">
        <s:f>IF(COUNT(D118,D119)&lt;2,"n/a",IF(D119=0,"n/m",D118/D119))</s:f>
        <s:v>1.0683679242473871</s:v>
      </s:c>
      <s:c r="E57" s="25">
        <s:f>IF(COUNT(E118,E119)&lt;2,"n/a",IF(E119=0,"n/m",E118/E119))</s:f>
        <s:v>1.3524869407222349</s:v>
      </s:c>
      <s:c r="F57" s="25">
        <s:f>IF(COUNT(F118,F119)&lt;2,"n/a",IF(F119=0,"n/m",F118/F119))</s:f>
        <s:v>1.225012846865365</s:v>
      </s:c>
      <s:c r="G57" s="25">
        <s:f>IF(COUNT(G118,G119)&lt;2,"n/a",IF(G119=0,"n/m",G118/G119))</s:f>
        <s:v>2.3961106391012934</s:v>
      </s:c>
      <s:c r="H57" s="25">
        <s:f>IF(COUNT(H118,H119)&lt;2,"n/a",IF(H119=0,"n/m",H118/H119))</s:f>
        <s:v>1.1341054685842773</s:v>
      </s:c>
      <s:c r="I57" s="25">
        <s:f>IF(COUNT(I118,I119)&lt;2,"n/a",IF(I119=0,"n/m",I118/I119))</s:f>
        <s:v>0.851581508515815</s:v>
      </s:c>
      <s:c r="J57" s="25">
        <s:f>IF(COUNT(J118,J119)&lt;2,"n/a",IF(J119=0,"n/m",J118/J119))</s:f>
        <s:v>0.7347964433342254</s:v>
      </s:c>
      <s:c r="K57" s="25">
        <s:f>IF(COUNT(K118,K119)&lt;2,"n/a",IF(K119=0,"n/m",K118/K119))</s:f>
        <s:v>0.7815051416219918</s:v>
      </s:c>
      <s:c r="L57" s="25">
        <s:f>IF(COUNT(L118,L119)&lt;2,"n/a",IF(L119=0,"n/m",L118/L119))</s:f>
        <s:v>1.259984338292874</s:v>
      </s:c>
      <s:c r="M57" s="25">
        <s:f>IF(COUNT(M118,M119)&lt;2,"n/a",IF(M119=0,"n/m",M118/M119))</s:f>
        <s:v>0.3887122416534181</s:v>
      </s:c>
    </s:row>
    <s:row r="58" ht="24" customHeight="1">
      <s:c r="A58" s="2" t="inlineStr">
        <s:is>
          <s:t>Quick ratio</s:t>
        </s:is>
      </s:c>
      <s:c r="B58" s="25">
        <s:f>IF(COUNT(B125,B126,B119)&lt;3,"n/a",IF(B119=0,"n/m",(B125+B126)/B119))</s:f>
        <s:v>0.20194773575718228</s:v>
      </s:c>
      <s:c r="C58" s="25">
        <s:f>IF(COUNT(C125,C126,C119)&lt;3,"n/a",IF(C119=0,"n/m",(C125+C126)/C119))</s:f>
        <s:v>0.2432656444260257</s:v>
      </s:c>
      <s:c r="D58" s="25">
        <s:f>IF(COUNT(D125,D126,D119)&lt;3,"n/a",IF(D119=0,"n/m",(D125+D126)/D119))</s:f>
        <s:v>0.5216627460322186</s:v>
      </s:c>
      <s:c r="E58" s="25">
        <s:f>IF(COUNT(E125,E126,E119)&lt;3,"n/a",IF(E119=0,"n/m",(E125+E126)/E119))</s:f>
        <s:v>0.29584374290256643</s:v>
      </s:c>
      <s:c r="F58" s="25" t="str">
        <s:f>IF(COUNT(F125,F126,F119)&lt;3,"n/a",IF(F119=0,"n/m",(F125+F126)/F119))</s:f>
        <s:v>n/a</s:v>
      </s:c>
      <s:c r="G58" s="25">
        <s:f>IF(COUNT(G125,G126,G119)&lt;3,"n/a",IF(G119=0,"n/m",(G125+G126)/G119))</s:f>
        <s:v>1.5112810346455205</s:v>
      </s:c>
      <s:c r="H58" s="25">
        <s:f>IF(COUNT(H125,H126,H119)&lt;3,"n/a",IF(H119=0,"n/m",(H125+H126)/H119))</s:f>
        <s:v>0.7243222604047347</s:v>
      </s:c>
      <s:c r="I58" s="25">
        <s:f>IF(COUNT(I125,I126,I119)&lt;3,"n/a",IF(I119=0,"n/m",(I125+I126)/I119))</s:f>
        <s:v>0.5901981230448383</s:v>
      </s:c>
      <s:c r="J58" s="25">
        <s:f>IF(COUNT(J125,J126,J119)&lt;3,"n/a",IF(J119=0,"n/m",(J125+J126)/J119))</s:f>
        <s:v>0.46391292711214205</s:v>
      </s:c>
      <s:c r="K58" s="25">
        <s:f>IF(COUNT(K125,K126,K119)&lt;3,"n/a",IF(K119=0,"n/m",(K125+K126)/K119))</s:f>
        <s:v>0.5496987790654125</s:v>
      </s:c>
      <s:c r="L58" s="25">
        <s:f>IF(COUNT(L125,L126,L119)&lt;3,"n/a",IF(L119=0,"n/m",(L125+L126)/L119))</s:f>
        <s:v>0.9780736100234926</s:v>
      </s:c>
      <s:c r="M58" s="25">
        <s:f>IF(COUNT(M125,M126,M119)&lt;3,"n/a",IF(M119=0,"n/m",(M125+M126)/M119))</s:f>
        <s:v>0.26489514724808844</s:v>
      </s:c>
    </s:row>
    <s:row r="59" ht="8" customHeight="1">
      <s:c r="A59" s="2" t="n"/>
      <s:c r="B59" s="3" t="n"/>
      <s:c r="C59" s="3" t="n"/>
      <s:c r="D59" s="3" t="n"/>
      <s:c r="E59" s="3" t="n"/>
      <s:c r="F59" s="3" t="n"/>
      <s:c r="G59" s="3" t="n"/>
      <s:c r="H59" s="3" t="n"/>
      <s:c r="I59" s="3" t="n"/>
      <s:c r="J59" s="3" t="n"/>
      <s:c r="K59" s="3" t="n"/>
      <s:c r="L59" s="3" t="n"/>
      <s:c r="M59" s="3" t="n"/>
    </s:row>
    <s:row r="60" ht="24" customHeight="1">
      <s:c r="A60" s="26" t="inlineStr">
        <s:is>
          <s:t>Leverage</s:t>
        </s:is>
      </s:c>
      <s:c r="B60" s="3" t="n"/>
      <s:c r="C60" s="3" t="n"/>
      <s:c r="D60" s="3" t="n"/>
      <s:c r="E60" s="3" t="n"/>
      <s:c r="F60" s="3" t="n"/>
      <s:c r="G60" s="3" t="n"/>
      <s:c r="H60" s="3" t="n"/>
      <s:c r="I60" s="3" t="n"/>
      <s:c r="J60" s="3" t="n"/>
      <s:c r="K60" s="3" t="n"/>
      <s:c r="L60" s="3" t="n"/>
      <s:c r="M60" s="3" t="n"/>
    </s:row>
    <s:row r="61" ht="24" customHeight="1">
      <s:c r="A61" s="2" t="inlineStr">
        <s:is>
          <s:t>Debt / equity</s:t>
        </s:is>
      </s:c>
      <s:c r="B61" s="25">
        <s:f>IF(COUNT(B123,B116)&lt;2,"n/a",IF(B116=0,"n/m",B123/B116))</s:f>
        <s:v>0.731221902910769</s:v>
      </s:c>
      <s:c r="C61" s="25">
        <s:f>IF(COUNT(C123,C116)&lt;2,"n/a",IF(C116=0,"n/m",C123/C116))</s:f>
        <s:v>1.4626265634306135</s:v>
      </s:c>
      <s:c r="D61" s="25">
        <s:f>IF(COUNT(D123,D116)&lt;2,"n/a",IF(D116=0,"n/m",D123/D116))</s:f>
        <s:v>0.354537473062495</s:v>
      </s:c>
      <s:c r="E61" s="25">
        <s:f>IF(COUNT(E123,E116)&lt;2,"n/a",IF(E116=0,"n/m",E123/E116))</s:f>
        <s:v>50.0411877394636</s:v>
      </s:c>
      <s:c r="F61" s="25">
        <s:f>IF(COUNT(F123,F116)&lt;2,"n/a",IF(F116=0,"n/m",F123/F116))</s:f>
        <s:v>-2.667441860465116</s:v>
      </s:c>
      <s:c r="G61" s="25">
        <s:f>IF(COUNT(G123,G116)&lt;2,"n/a",IF(G116=0,"n/m",G123/G116))</s:f>
        <s:v>0.8282744282744283</s:v>
      </s:c>
      <s:c r="H61" s="25">
        <s:f>IF(COUNT(H123,H116)&lt;2,"n/a",IF(H116=0,"n/m",H123/H116))</s:f>
        <s:v>1.6215257700165762</s:v>
      </s:c>
      <s:c r="I61" s="25">
        <s:f>IF(COUNT(I123,I116)&lt;2,"n/a",IF(I116=0,"n/m",I123/I116))</s:f>
        <s:v>2.4137166945900663</s:v>
      </s:c>
      <s:c r="J61" s="25">
        <s:f>IF(COUNT(J123,J116)&lt;2,"n/a",IF(J116=0,"n/m",J123/J116))</s:f>
        <s:v>0.6635842978164896</s:v>
      </s:c>
      <s:c r="K61" s="25">
        <s:f>IF(COUNT(K123,K116)&lt;2,"n/a",IF(K116=0,"n/m",K123/K116))</s:f>
        <s:v>-3.076975033771952</s:v>
      </s:c>
      <s:c r="L61" s="25">
        <s:f>IF(COUNT(L123,L116)&lt;2,"n/a",IF(L116=0,"n/m",L123/L116))</s:f>
        <s:v>-1.5310511580554849</s:v>
      </s:c>
      <s:c r="M61" s="25">
        <s:f>IF(COUNT(M123,M116)&lt;2,"n/a",IF(M116=0,"n/m",M123/M116))</s:f>
        <s:v>2.456641152633949</s:v>
      </s:c>
    </s:row>
    <s:row r="62" ht="24" customHeight="1">
      <s:c r="A62" s="2" t="inlineStr">
        <s:is>
          <s:t>Equity multiplier</s:t>
        </s:is>
      </s:c>
      <s:c r="B62" s="25">
        <s:f>IF(COUNT(B115,B116)&lt;2,"n/a",IF(B116=0,"n/m",B115/B116))</s:f>
        <s:v>3.0097303871883234</s:v>
      </s:c>
      <s:c r="C62" s="25">
        <s:f>IF(COUNT(C115,C116)&lt;2,"n/a",IF(C116=0,"n/m",C115/C116))</s:f>
        <s:v>4.1212030970815965</s:v>
      </s:c>
      <s:c r="D62" s="25">
        <s:f>IF(COUNT(D115,D116)&lt;2,"n/a",IF(D116=0,"n/m",D115/D116))</s:f>
        <s:v>2.753372176550403</s:v>
      </s:c>
      <s:c r="E62" s="25">
        <s:f>IF(COUNT(E115,E116)&lt;2,"n/a",IF(E116=0,"n/m",E115/E116))</s:f>
        <s:v>73.30459770114942</s:v>
      </s:c>
      <s:c r="F62" s="25">
        <s:f>IF(COUNT(F115,F116)&lt;2,"n/a",IF(F116=0,"n/m",F115/F116))</s:f>
        <s:v>-2.7770764119601328</s:v>
      </s:c>
      <s:c r="G62" s="25">
        <s:f>IF(COUNT(G115,G116)&lt;2,"n/a",IF(G116=0,"n/m",G115/G116))</s:f>
        <s:v>2.641025641025641</s:v>
      </s:c>
      <s:c r="H62" s="25">
        <s:f>IF(COUNT(H115,H116)&lt;2,"n/a",IF(H116=0,"n/m",H115/H116))</s:f>
        <s:v>3.766354419644578</s:v>
      </s:c>
      <s:c r="I62" s="25">
        <s:f>IF(COUNT(I115,I116)&lt;2,"n/a",IF(I116=0,"n/m",I115/I116))</s:f>
        <s:v>5.431281413824785</s:v>
      </s:c>
      <s:c r="J62" s="25">
        <s:f>IF(COUNT(J115,J116)&lt;2,"n/a",IF(J116=0,"n/m",J115/J116))</s:f>
        <s:v>2.433480491588116</s:v>
      </s:c>
      <s:c r="K62" s="25">
        <s:f>IF(COUNT(K115,K116)&lt;2,"n/a",IF(K116=0,"n/m",K115/K116))</s:f>
        <s:v>-3.683081502976935</s:v>
      </s:c>
      <s:c r="L62" s="25">
        <s:f>IF(COUNT(L115,L116)&lt;2,"n/a",IF(L116=0,"n/m",L115/L116))</s:f>
        <s:v>-0.792949860015271</s:v>
      </s:c>
      <s:c r="M62" s="25">
        <s:f>IF(COUNT(M115,M116)&lt;2,"n/a",IF(M116=0,"n/m",M115/M116))</s:f>
        <s:v>6.631607384061233</s:v>
      </s:c>
    </s:row>
    <s:row r="63" ht="24" customHeight="1">
      <s:c r="A63" s="2" t="inlineStr">
        <s:is>
          <s:t>Interest coverage</s:t>
        </s:is>
      </s:c>
      <s:c r="B63" s="25">
        <s:f>IF(COUNT(B117,B122)&lt;2,"n/a",IF(B122=0,"n/m",B117/B122))</s:f>
        <s:v>9.143123369362653</s:v>
      </s:c>
      <s:c r="C63" s="25">
        <s:f>IF(COUNT(C117,C122)&lt;2,"n/a",IF(C122=0,"n/m",C117/C122))</s:f>
        <s:v>11.55179282868526</s:v>
      </s:c>
      <s:c r="D63" s="25">
        <s:f>IF(COUNT(D117,D122)&lt;2,"n/a",IF(D122=0,"n/m",D117/D122))</s:f>
        <s:v>54.04375</s:v>
      </s:c>
      <s:c r="E63" s="25">
        <s:f>IF(COUNT(E117,E122)&lt;2,"n/a",IF(E122=0,"n/m",E117/E122))</s:f>
        <s:v>11.254246011322698</s:v>
      </s:c>
      <s:c r="F63" s="25">
        <s:f>IF(COUNT(F117,F122)&lt;2,"n/a",IF(F122=0,"n/m",F117/F122))</s:f>
        <s:v>7.861092380310182</s:v>
      </s:c>
      <s:c r="G63" s="25">
        <s:f>IF(COUNT(G117,G122)&lt;2,"n/a",IF(G122=0,"n/m",G117/G122))</s:f>
        <s:v>23.460966542750928</s:v>
      </s:c>
      <s:c r="H63" s="25">
        <s:f>IF(COUNT(H117,H122)&lt;2,"n/a",IF(H122=0,"n/m",H117/H122))</s:f>
        <s:v>9.481990831696136</s:v>
      </s:c>
      <s:c r="I63" s="25">
        <s:f>IF(COUNT(I117,I122)&lt;2,"n/a",IF(I122=0,"n/m",I117/I122))</s:f>
        <s:v>14.94017094017094</s:v>
      </s:c>
      <s:c r="J63" s="25">
        <s:f>IF(COUNT(J117,J122)&lt;2,"n/a",IF(J122=0,"n/m",J117/J122))</s:f>
        <s:v>21.282162162162162</s:v>
      </s:c>
      <s:c r="K63" s="25">
        <s:f>IF(COUNT(K117,K122)&lt;2,"n/a",IF(K122=0,"n/m",K117/K122))</s:f>
        <s:v>10.819850936193419</s:v>
      </s:c>
      <s:c r="L63" s="25">
        <s:f>IF(COUNT(L117,L122)&lt;2,"n/a",IF(L122=0,"n/m",L117/L122))</s:f>
        <s:v>4.543859649122807</s:v>
      </s:c>
      <s:c r="M63" s="25">
        <s:f>IF(COUNT(M117,M122)&lt;2,"n/a",IF(M122=0,"n/m",M117/M122))</s:f>
        <s:v>7.724220623501199</s:v>
      </s:c>
    </s:row>
    <s:row r="64" ht="8" customHeight="1">
      <s:c r="A64" s="2" t="n"/>
      <s:c r="B64" s="3" t="n"/>
      <s:c r="C64" s="3" t="n"/>
      <s:c r="D64" s="3" t="n"/>
      <s:c r="E64" s="3" t="n"/>
      <s:c r="F64" s="3" t="n"/>
      <s:c r="G64" s="3" t="n"/>
      <s:c r="H64" s="3" t="n"/>
      <s:c r="I64" s="3" t="n"/>
      <s:c r="J64" s="3" t="n"/>
      <s:c r="K64" s="3" t="n"/>
      <s:c r="L64" s="3" t="n"/>
      <s:c r="M64" s="3" t="n"/>
    </s:row>
    <s:row r="65" ht="24" customHeight="1">
      <s:c r="A65" s="26" t="inlineStr">
        <s:is>
          <s:t>Efficiency</s:t>
        </s:is>
      </s:c>
      <s:c r="B65" s="3" t="n"/>
      <s:c r="C65" s="3" t="n"/>
      <s:c r="D65" s="3" t="n"/>
      <s:c r="E65" s="3" t="n"/>
      <s:c r="F65" s="3" t="n"/>
      <s:c r="G65" s="3" t="n"/>
      <s:c r="H65" s="3" t="n"/>
      <s:c r="I65" s="3" t="n"/>
      <s:c r="J65" s="3" t="n"/>
      <s:c r="K65" s="3" t="n"/>
      <s:c r="L65" s="3" t="n"/>
      <s:c r="M65" s="3" t="n"/>
    </s:row>
    <s:row r="66" ht="24" customHeight="1">
      <s:c r="A66" s="2" t="inlineStr">
        <s:is>
          <s:t>Asset turnover</s:t>
        </s:is>
      </s:c>
      <s:c r="B66" s="25">
        <s:f>IF(COUNT(B113,B115)&lt;2,"n/a",IF(B115=0,"n/m",B113/B115))</s:f>
        <s:v>2.5678588266989966</s:v>
      </s:c>
      <s:c r="C66" s="25">
        <s:f>IF(COUNT(C113,C115)&lt;2,"n/a",IF(C115=0,"n/m",C113/C115))</s:f>
        <s:v>1.9403858660307827</s:v>
      </s:c>
      <s:c r="D66" s="25">
        <s:f>IF(COUNT(D113,D115)&lt;2,"n/a",IF(D115=0,"n/m",D113/D115))</s:f>
        <s:v>3.5117546453314783</s:v>
      </s:c>
      <s:c r="E66" s="25">
        <s:f>IF(COUNT(E113,E115)&lt;2,"n/a",IF(E115=0,"n/m",E113/E115))</s:f>
        <s:v>1.994890892460473</s:v>
      </s:c>
      <s:c r="F66" s="25">
        <s:f>IF(COUNT(F113,F115)&lt;2,"n/a",IF(F115=0,"n/m",F113/F115))</s:f>
        <s:v>2.066682617537983</s:v>
      </s:c>
      <s:c r="G66" s="25">
        <s:f>IF(COUNT(G113,G115)&lt;2,"n/a",IF(G115=0,"n/m",G113/G115))</s:f>
        <s:v>1.347730254526371</s:v>
      </s:c>
      <s:c r="H66" s="25">
        <s:f>IF(COUNT(H113,H115)&lt;2,"n/a",IF(H115=0,"n/m",H113/H115))</s:f>
        <s:v>0.4682967769669304</s:v>
      </s:c>
      <s:c r="I66" s="25">
        <s:f>IF(COUNT(I113,I115)&lt;2,"n/a",IF(I115=0,"n/m",I113/I115))</s:f>
        <s:v>0.9102044877854619</s:v>
      </s:c>
      <s:c r="J66" s="25">
        <s:f>IF(COUNT(J113,J115)&lt;2,"n/a",IF(J115=0,"n/m",J113/J115))</s:f>
        <s:v>0.6867614611424369</s:v>
      </s:c>
      <s:c r="K66" s="25">
        <s:f>IF(COUNT(K113,K115)&lt;2,"n/a",IF(K115=0,"n/m",K113/K115))</s:f>
        <s:v>1.221769030921533</s:v>
      </s:c>
      <s:c r="L66" s="25">
        <s:f>IF(COUNT(L113,L115)&lt;2,"n/a",IF(L115=0,"n/m",L113/L115))</s:f>
        <s:v>1.1356122612742738</s:v>
      </s:c>
      <s:c r="M66" s="25">
        <s:f>IF(COUNT(M113,M115)&lt;2,"n/a",IF(M115=0,"n/m",M113/M115))</s:f>
        <s:v>0.7882244310466568</s:v>
      </s:c>
    </s:row>
    <s:row r="67" ht="24" customHeight="1">
      <s:c r="A67" s="2" t="inlineStr">
        <s:is>
          <s:t>Inventory turnover</s:t>
        </s:is>
      </s:c>
      <s:c r="B67" s="25">
        <s:f>IF(COUNT(B121,B124)&lt;2,"n/a",IF(B124=0,"n/m",B121/B124))</s:f>
        <s:v>8.929206441740144</s:v>
      </s:c>
      <s:c r="C67" s="25">
        <s:f>IF(COUNT(C121,C124)&lt;2,"n/a",IF(C124=0,"n/m",C121/C124))</s:f>
        <s:v>6.547871445397947</s:v>
      </s:c>
      <s:c r="D67" s="25">
        <s:f>IF(COUNT(D121,D124)&lt;2,"n/a",IF(D124=0,"n/m",D121/D124))</s:f>
        <s:v>12.767161131463576</s:v>
      </s:c>
      <s:c r="E67" s="25">
        <s:f>IF(COUNT(E121,E124)&lt;2,"n/a",IF(E124=0,"n/m",E121/E124))</s:f>
        <s:v>4.848827231121281</s:v>
      </s:c>
      <s:c r="F67" s="25">
        <s:f>IF(COUNT(F121,F124)&lt;2,"n/a",IF(F124=0,"n/m",F121/F124))</s:f>
        <s:v>3.405528590031964</s:v>
      </s:c>
      <s:c r="G67" s="25">
        <s:f>IF(COUNT(G121,G124)&lt;2,"n/a",IF(G124=0,"n/m",G121/G124))</s:f>
        <s:v>3.787072749035776</s:v>
      </s:c>
      <s:c r="H67" s="25">
        <s:f>IF(COUNT(H121,H124)&lt;2,"n/a",IF(H124=0,"n/m",H121/H124))</s:f>
        <s:v>4.18625678119349</s:v>
      </s:c>
      <s:c r="I67" s="25">
        <s:f>IF(COUNT(I121,I124)&lt;2,"n/a",IF(I124=0,"n/m",I121/I124))</s:f>
        <s:v>7.851706036745407</s:v>
      </s:c>
      <s:c r="J67" s="25">
        <s:f>IF(COUNT(J121,J124)&lt;2,"n/a",IF(J124=0,"n/m",J121/J124))</s:f>
        <s:v>5.82212086659065</s:v>
      </s:c>
      <s:c r="K67" s="25">
        <s:f>IF(COUNT(K121,K124)&lt;2,"n/a",IF(K124=0,"n/m",K121/K124))</s:f>
        <s:v>14.464902568644819</s:v>
      </s:c>
      <s:c r="L67" s="25" t="str">
        <s:f>IF(COUNT(L121,L124)&lt;2,"n/a",IF(L124=0,"n/m",L121/L124))</s:f>
        <s:v>n/a</s:v>
      </s:c>
      <s:c r="M67" s="25">
        <s:f>IF(COUNT(M121,M124)&lt;2,"n/a",IF(M124=0,"n/m",M121/M124))</s:f>
        <s:v>33.419330289193304</s:v>
      </s:c>
    </s:row>
    <s:row r="68" ht="8" customHeight="1">
      <s:c r="A68" s="2" t="n"/>
      <s:c r="B68" s="3" t="n"/>
      <s:c r="C68" s="3" t="n"/>
      <s:c r="D68" s="3" t="n"/>
      <s:c r="E68" s="3" t="n"/>
      <s:c r="F68" s="3" t="n"/>
      <s:c r="G68" s="3" t="n"/>
      <s:c r="H68" s="3" t="n"/>
      <s:c r="I68" s="3" t="n"/>
      <s:c r="J68" s="3" t="n"/>
      <s:c r="K68" s="3" t="n"/>
      <s:c r="L68" s="3" t="n"/>
      <s:c r="M68" s="3" t="n"/>
    </s:row>
    <s:row r="69" ht="8" customHeight="1">
      <s:c r="A69" s="2" t="n"/>
      <s:c r="B69" s="3" t="n"/>
      <s:c r="C69" s="3" t="n"/>
      <s:c r="D69" s="3" t="n"/>
      <s:c r="E69" s="3" t="n"/>
      <s:c r="F69" s="3" t="n"/>
      <s:c r="G69" s="3" t="n"/>
      <s:c r="H69" s="3" t="n"/>
      <s:c r="I69" s="3" t="n"/>
      <s:c r="J69" s="3" t="n"/>
      <s:c r="K69" s="3" t="n"/>
      <s:c r="L69" s="3" t="n"/>
      <s:c r="M69" s="3" t="n"/>
    </s:row>
    <s:row r="70" ht="8" customHeight="1">
      <s:c r="A70" s="2" t="n"/>
      <s:c r="B70" s="3" t="n"/>
      <s:c r="C70" s="3" t="n"/>
      <s:c r="D70" s="3" t="n"/>
      <s:c r="E70" s="3" t="n"/>
      <s:c r="F70" s="3" t="n"/>
      <s:c r="G70" s="3" t="n"/>
      <s:c r="H70" s="3" t="n"/>
      <s:c r="I70" s="3" t="n"/>
      <s:c r="J70" s="3" t="n"/>
      <s:c r="K70" s="3" t="n"/>
      <s:c r="L70" s="3" t="n"/>
      <s:c r="M70" s="3" t="n"/>
    </s:row>
    <s:row r="71" ht="24" customHeight="1">
      <s:c r="A71" s="2" t="n"/>
      <s:c r="B71" s="3" t="n"/>
      <s:c r="C71" s="3" t="n"/>
      <s:c r="D71" s="3" t="n"/>
      <s:c r="E71" s="3" t="n"/>
      <s:c r="F71" s="3" t="n"/>
      <s:c r="G71" s="3" t="n"/>
      <s:c r="H71" s="3" t="n"/>
      <s:c r="I71" s="3" t="n"/>
      <s:c r="J71" s="3" t="n"/>
      <s:c r="K71" s="3" t="n"/>
      <s:c r="L71" s="3" t="n"/>
      <s:c r="M71" s="3" t="n"/>
    </s:row>
    <s:row r="72" ht="28" customHeight="1">
      <s:c r="A72" s="1" t="inlineStr">
        <s:is>
          <s:t>Supporting inputs — USD millions</s:t>
        </s:is>
      </s:c>
    </s:row>
    <s:row r="73" ht="8" customHeight="1">
      <s:c r="A73" s="2" t="n"/>
      <s:c r="B73" s="3" t="n"/>
      <s:c r="C73" s="3" t="n"/>
      <s:c r="D73" s="3" t="n"/>
      <s:c r="E73" s="3" t="n"/>
      <s:c r="F73" s="3" t="n"/>
      <s:c r="G73" s="3" t="n"/>
      <s:c r="H73" s="3" t="n"/>
      <s:c r="I73" s="3" t="n"/>
      <s:c r="J73" s="3" t="n"/>
      <s:c r="K73" s="3" t="n"/>
      <s:c r="L73" s="3" t="n"/>
      <s:c r="M73" s="3" t="n"/>
    </s:row>
    <s:row r="74" ht="36" customHeight="1">
      <s:c r="A74" s="2" t="inlineStr">
        <s:is>
          <s:t>Company</s:t>
        </s:is>
      </s:c>
      <s:c r="B74" s="4" t="inlineStr">
        <s:is>
          <s:t>Walmart</s:t>
        </s:is>
      </s:c>
      <s:c r="C74" s="4" t="inlineStr">
        <s:is>
          <s:t>Target</s:t>
        </s:is>
      </s:c>
      <s:c r="D74" s="4" t="inlineStr">
        <s:is>
          <s:t>Costco</s:t>
        </s:is>
      </s:c>
      <s:c r="E74" s="4" t="inlineStr">
        <s:is>
          <s:t>Home Depot</s:t>
        </s:is>
      </s:c>
      <s:c r="F74" s="4" t="inlineStr">
        <s:is>
          <s:t>Lowe’s</s:t>
        </s:is>
      </s:c>
      <s:c r="G74" s="4" t="inlineStr">
        <s:is>
          <s:t>Nike</s:t>
        </s:is>
      </s:c>
      <s:c r="H74" s="4" t="inlineStr">
        <s:is>
          <s:t>Coca-Cola</s:t>
        </s:is>
      </s:c>
      <s:c r="I74" s="4" t="inlineStr">
        <s:is>
          <s:t>PepsiCo</s:t>
        </s:is>
      </s:c>
      <s:c r="J74" s="4" t="inlineStr">
        <s:is>
          <s:t>Procter &amp;
Gamble</s:t>
        </s:is>
      </s:c>
      <s:c r="K74" s="4" t="inlineStr">
        <s:is>
          <s:t>Starbucks</s:t>
        </s:is>
      </s:c>
      <s:c r="L74" s="4" t="inlineStr">
        <s:is>
          <s:t>YUM! Brands</s:t>
        </s:is>
      </s:c>
      <s:c r="M74" s="4" t="inlineStr">
        <s:is>
          <s:t>Delta Air
Lines</s:t>
        </s:is>
      </s:c>
    </s:row>
    <s:row r="75" ht="20" customHeight="1">
      <s:c r="A75" s="5" t="inlineStr">
        <s:is>
          <s:t>Ticker</s:t>
        </s:is>
      </s:c>
      <s:c r="B75" s="6" t="inlineStr">
        <s:is>
          <s:t>WMT</s:t>
        </s:is>
      </s:c>
      <s:c r="C75" s="6" t="inlineStr">
        <s:is>
          <s:t>TGT</s:t>
        </s:is>
      </s:c>
      <s:c r="D75" s="6" t="inlineStr">
        <s:is>
          <s:t>COST</s:t>
        </s:is>
      </s:c>
      <s:c r="E75" s="6" t="inlineStr">
        <s:is>
          <s:t>HD</s:t>
        </s:is>
      </s:c>
      <s:c r="F75" s="6" t="inlineStr">
        <s:is>
          <s:t>LOW</s:t>
        </s:is>
      </s:c>
      <s:c r="G75" s="6" t="inlineStr">
        <s:is>
          <s:t>NKE</s:t>
        </s:is>
      </s:c>
      <s:c r="H75" s="6" t="inlineStr">
        <s:is>
          <s:t>KO</s:t>
        </s:is>
      </s:c>
      <s:c r="I75" s="6" t="inlineStr">
        <s:is>
          <s:t>PEP</s:t>
        </s:is>
      </s:c>
      <s:c r="J75" s="6" t="inlineStr">
        <s:is>
          <s:t>PG</s:t>
        </s:is>
      </s:c>
      <s:c r="K75" s="6" t="inlineStr">
        <s:is>
          <s:t>SBUX</s:t>
        </s:is>
      </s:c>
      <s:c r="L75" s="6" t="inlineStr">
        <s:is>
          <s:t>YUM</s:t>
        </s:is>
      </s:c>
      <s:c r="M75" s="6" t="inlineStr">
        <s:is>
          <s:t>DAL</s:t>
        </s:is>
      </s:c>
    </s:row>
    <s:row r="76" ht="24" customHeight="1">
      <s:c r="A76" s="7" t="inlineStr">
        <s:is>
          <s:t>Current annual period</s:t>
        </s:is>
      </s:c>
      <s:c r="B76" s="17" t="n">
        <s:v>46053</s:v>
      </s:c>
      <s:c r="C76" s="17" t="n">
        <s:v>46053</s:v>
      </s:c>
      <s:c r="D76" s="17" t="n">
        <s:v>45900</s:v>
      </s:c>
      <s:c r="E76" s="17" t="n">
        <s:v>46053</s:v>
      </s:c>
      <s:c r="F76" s="17" t="n">
        <s:v>46053</s:v>
      </s:c>
      <s:c r="G76" s="17" t="n">
        <s:v>46173</s:v>
      </s:c>
      <s:c r="H76" s="17" t="n">
        <s:v>46022</s:v>
      </s:c>
      <s:c r="I76" s="17" t="n">
        <s:v>46022</s:v>
      </s:c>
      <s:c r="J76" s="17" t="n">
        <s:v>46203</s:v>
      </s:c>
      <s:c r="K76" s="17" t="n">
        <s:v>45930</s:v>
      </s:c>
      <s:c r="L76" s="17" t="n">
        <s:v>46022</s:v>
      </s:c>
      <s:c r="M76" s="17" t="n">
        <s:v>46022</s:v>
      </s:c>
    </s:row>
    <s:row r="77" ht="24" customHeight="1">
      <s:c r="A77" s="2" t="inlineStr">
        <s:is>
          <s:t>Revenue ($m)</s:t>
        </s:is>
      </s:c>
      <s:c r="B77" s="18">
        <s:f>'Company Data'!B6</s:f>
        <s:v>713163.0</s:v>
      </s:c>
      <s:c r="C77" s="18">
        <s:f>'Company Data'!C6</s:f>
        <s:v>104780.0</s:v>
      </s:c>
      <s:c r="D77" s="18">
        <s:f>'Company Data'!D6</s:f>
        <s:v>275235.0</s:v>
      </s:c>
      <s:c r="E77" s="18">
        <s:f>'Company Data'!E6</s:f>
        <s:v>164683.0</s:v>
      </s:c>
      <s:c r="F77" s="18">
        <s:f>'Company Data'!F6</s:f>
        <s:v>86286.0</s:v>
      </s:c>
      <s:c r="G77" s="18">
        <s:f>'Company Data'!G6</s:f>
        <s:v>46398.0</s:v>
      </s:c>
      <s:c r="H77" s="18">
        <s:f>'Company Data'!H6</s:f>
        <s:v>47941.0</s:v>
      </s:c>
      <s:c r="I77" s="18">
        <s:f>'Company Data'!I6</s:f>
        <s:v>93925.0</s:v>
      </s:c>
      <s:c r="J77" s="18">
        <s:f>'Company Data'!J6</s:f>
        <s:v>87032.0</s:v>
      </s:c>
      <s:c r="K77" s="18">
        <s:f>'Company Data'!K6</s:f>
        <s:v>37184.4</s:v>
      </s:c>
      <s:c r="L77" s="18">
        <s:f>'Company Data'!L6</s:f>
        <s:v>8214.0</s:v>
      </s:c>
      <s:c r="M77" s="18">
        <s:f>'Company Data'!M6</s:f>
        <s:v>63364.0</s:v>
      </s:c>
    </s:row>
    <s:row r="78" ht="24" customHeight="1">
      <s:c r="A78" s="2" t="inlineStr">
        <s:is>
          <s:t>Net income ($m)</s:t>
        </s:is>
      </s:c>
      <s:c r="B78" s="18">
        <s:f>'Company Data'!B7</s:f>
        <s:v>21893.0</s:v>
      </s:c>
      <s:c r="C78" s="18">
        <s:f>'Company Data'!C7</s:f>
        <s:v>3705.0</s:v>
      </s:c>
      <s:c r="D78" s="18">
        <s:f>'Company Data'!D7</s:f>
        <s:v>8099.0</s:v>
      </s:c>
      <s:c r="E78" s="18">
        <s:f>'Company Data'!E7</s:f>
        <s:v>14156.0</s:v>
      </s:c>
      <s:c r="F78" s="18">
        <s:f>'Company Data'!F7</s:f>
        <s:v>6654.0</s:v>
      </s:c>
      <s:c r="G78" s="18">
        <s:f>'Company Data'!G7</s:f>
        <s:v>3108.0</s:v>
      </s:c>
      <s:c r="H78" s="18">
        <s:f>'Company Data'!H7</s:f>
        <s:v>13107.0</s:v>
      </s:c>
      <s:c r="I78" s="18">
        <s:f>'Company Data'!I7</s:f>
        <s:v>8240.0</s:v>
      </s:c>
      <s:c r="J78" s="18">
        <s:f>'Company Data'!J7</s:f>
        <s:v>16046.0</s:v>
      </s:c>
      <s:c r="K78" s="18">
        <s:f>'Company Data'!K7</s:f>
        <s:v>1856.4</s:v>
      </s:c>
      <s:c r="L78" s="18">
        <s:f>'Company Data'!L7</s:f>
        <s:v>1559.0</s:v>
      </s:c>
      <s:c r="M78" s="18">
        <s:f>'Company Data'!M7</s:f>
        <s:v>5005.0</s:v>
      </s:c>
    </s:row>
    <s:row r="79" ht="24" customHeight="1">
      <s:c r="A79" s="2" t="inlineStr">
        <s:is>
          <s:t>Total assets ($m)</s:t>
        </s:is>
      </s:c>
      <s:c r="B79" s="18">
        <s:f>'Company Data'!B10</s:f>
        <s:v>284668.0</s:v>
      </s:c>
      <s:c r="C79" s="18">
        <s:f>'Company Data'!C10</s:f>
        <s:v>59490.0</s:v>
      </s:c>
      <s:c r="D79" s="18">
        <s:f>'Company Data'!D10</s:f>
        <s:v>77099.0</s:v>
      </s:c>
      <s:c r="E79" s="18">
        <s:f>'Company Data'!E10</s:f>
        <s:v>105095.0</s:v>
      </s:c>
      <s:c r="F79" s="18">
        <s:f>'Company Data'!F10</s:f>
        <s:v>54144.0</s:v>
      </s:c>
      <s:c r="G79" s="18">
        <s:f>'Company Data'!G10</s:f>
        <s:v>38410.0</s:v>
      </s:c>
      <s:c r="H79" s="18">
        <s:f>'Company Data'!H10</s:f>
        <s:v>104816.0</s:v>
      </s:c>
      <s:c r="I79" s="18">
        <s:f>'Company Data'!I10</s:f>
        <s:v>107399.0</s:v>
      </s:c>
      <s:c r="J79" s="18">
        <s:f>'Company Data'!J10</s:f>
        <s:v>126521.0</s:v>
      </s:c>
      <s:c r="K79" s="18">
        <s:f>'Company Data'!K10</s:f>
        <s:v>32019.7</s:v>
      </s:c>
      <s:c r="L79" s="18">
        <s:f>'Company Data'!L10</s:f>
        <s:v>8197.0</s:v>
      </s:c>
      <s:c r="M79" s="18">
        <s:f>'Company Data'!M10</s:f>
        <s:v>81317.0</s:v>
      </s:c>
    </s:row>
    <s:row r="80" ht="24" customHeight="1">
      <s:c r="A80" s="2" t="inlineStr">
        <s:is>
          <s:t>Book equity ($m)</s:t>
        </s:is>
      </s:c>
      <s:c r="B80" s="18">
        <s:f>'Company Data'!B15</s:f>
        <s:v>99617.0</s:v>
      </s:c>
      <s:c r="C80" s="18">
        <s:f>'Company Data'!C15</s:f>
        <s:v>16165.0</s:v>
      </s:c>
      <s:c r="D80" s="18">
        <s:f>'Company Data'!D15</s:f>
        <s:v>29164.0</s:v>
      </s:c>
      <s:c r="E80" s="18">
        <s:f>'Company Data'!E15</s:f>
        <s:v>12813.0</s:v>
      </s:c>
      <s:c r="F80" s="18">
        <s:f>'Company Data'!F15</s:f>
        <s:v>-9917.0</s:v>
      </s:c>
      <s:c r="G80" s="18">
        <s:f>'Company Data'!G15</s:f>
        <s:v>14865.0</s:v>
      </s:c>
      <s:c r="H80" s="18">
        <s:f>'Company Data'!H15</s:f>
        <s:v>32169.0</s:v>
      </s:c>
      <s:c r="I80" s="18">
        <s:f>'Company Data'!I15</s:f>
        <s:v>20406.0</s:v>
      </s:c>
      <s:c r="J80" s="18">
        <s:f>'Company Data'!J15</s:f>
        <s:v>54081.0</s:v>
      </s:c>
      <s:c r="K80" s="18">
        <s:f>'Company Data'!K15</s:f>
        <s:v>-8096.6</s:v>
      </s:c>
      <s:c r="L80" s="18">
        <s:f>'Company Data'!L15</s:f>
        <s:v>-7325.0</s:v>
      </s:c>
      <s:c r="M80" s="18">
        <s:f>'Company Data'!M15</s:f>
        <s:v>20853.0</s:v>
      </s:c>
    </s:row>
    <s:row r="81" ht="24" customHeight="1">
      <s:c r="A81" s="2" t="inlineStr">
        <s:is>
          <s:t>EBIT ($m)</s:t>
        </s:is>
      </s:c>
      <s:c r="B81" s="18">
        <s:f>'Company Data'!B11</s:f>
        <s:v>32268.0</s:v>
      </s:c>
      <s:c r="C81" s="18">
        <s:f>'Company Data'!C11</s:f>
        <s:v>5212.0</s:v>
      </s:c>
      <s:c r="D81" s="18">
        <s:f>'Company Data'!D11</s:f>
        <s:v>10972.0</s:v>
      </s:c>
      <s:c r="E81" s="18">
        <s:f>'Company Data'!E11</s:f>
        <s:v>21014.0</s:v>
      </s:c>
      <s:c r="F81" s="18">
        <s:f>'Company Data'!F11</s:f>
        <s:v>10274.0</s:v>
      </s:c>
      <s:c r="G81" s="18">
        <s:f>'Company Data'!G11</s:f>
        <s:v>3797.0</s:v>
      </s:c>
      <s:c r="H81" s="18">
        <s:f>'Company Data'!H11</s:f>
        <s:v>17652.0</s:v>
      </s:c>
      <s:c r="I81" s="18">
        <s:f>'Company Data'!I11</s:f>
        <s:v>11365.0</s:v>
      </s:c>
      <s:c r="J81" s="18">
        <s:f>'Company Data'!J11</s:f>
        <s:v>21254.0</s:v>
      </s:c>
      <s:c r="K81" s="18">
        <s:f>'Company Data'!K11</s:f>
        <s:v>3049.9</s:v>
      </s:c>
      <s:c r="L81" s="18">
        <s:f>'Company Data'!L11</s:f>
        <s:v>2578.0</s:v>
      </s:c>
      <s:c r="M81" s="18">
        <s:f>'Company Data'!M11</s:f>
        <s:v>6864.0</s:v>
      </s:c>
    </s:row>
    <s:row r="82" ht="24" customHeight="1">
      <s:c r="A82" s="2" t="inlineStr">
        <s:is>
          <s:t>Current assets ($m)</s:t>
        </s:is>
      </s:c>
      <s:c r="B82" s="18">
        <s:f>'Company Data'!B13</s:f>
        <s:v>84874.0</s:v>
      </s:c>
      <s:c r="C82" s="18">
        <s:f>'Company Data'!C13</s:f>
        <s:v>20005.0</s:v>
      </s:c>
      <s:c r="D82" s="18">
        <s:f>'Company Data'!D13</s:f>
        <s:v>38380.0</s:v>
      </s:c>
      <s:c r="E82" s="18">
        <s:f>'Company Data'!E13</s:f>
        <s:v>34391.0</s:v>
      </s:c>
      <s:c r="F82" s="18">
        <s:f>'Company Data'!F13</s:f>
        <s:v>20955.0</s:v>
      </s:c>
      <s:c r="G82" s="18">
        <s:f>'Company Data'!G13</s:f>
        <s:v>24603.0</s:v>
      </s:c>
      <s:c r="H82" s="18">
        <s:f>'Company Data'!H13</s:f>
        <s:v>31044.0</s:v>
      </s:c>
      <s:c r="I82" s="18">
        <s:f>'Company Data'!I13</s:f>
        <s:v>27949.0</s:v>
      </s:c>
      <s:c r="J82" s="18">
        <s:f>'Company Data'!J13</s:f>
        <s:v>26208.0</s:v>
      </s:c>
      <s:c r="K82" s="18">
        <s:f>'Company Data'!K13</s:f>
        <s:v>7382.3</s:v>
      </s:c>
      <s:c r="L82" s="18">
        <s:f>'Company Data'!L13</s:f>
        <s:v>2040.0</s:v>
      </s:c>
      <s:c r="M82" s="18">
        <s:f>'Company Data'!M13</s:f>
        <s:v>10968.0</s:v>
      </s:c>
    </s:row>
    <s:row r="83" ht="24" customHeight="1">
      <s:c r="A83" s="2" t="inlineStr">
        <s:is>
          <s:t>Current liabilities ($m)</s:t>
        </s:is>
      </s:c>
      <s:c r="B83" s="18">
        <s:f>'Company Data'!B14</s:f>
        <s:v>107469.0</s:v>
      </s:c>
      <s:c r="C83" s="18">
        <s:f>'Company Data'!C14</s:f>
        <s:v>21230.0</s:v>
      </s:c>
      <s:c r="D83" s="18">
        <s:f>'Company Data'!D14</s:f>
        <s:v>37108.0</s:v>
      </s:c>
      <s:c r="E83" s="18">
        <s:f>'Company Data'!E14</s:f>
        <s:v>32424.0</s:v>
      </s:c>
      <s:c r="F83" s="18">
        <s:f>'Company Data'!F14</s:f>
        <s:v>19463.0</s:v>
      </s:c>
      <s:c r="G83" s="18">
        <s:f>'Company Data'!G14</s:f>
        <s:v>12547.0</s:v>
      </s:c>
      <s:c r="H83" s="18">
        <s:f>'Company Data'!H14</s:f>
        <s:v>21281.0</s:v>
      </s:c>
      <s:c r="I83" s="18">
        <s:f>'Company Data'!I14</s:f>
        <s:v>32764.0</s:v>
      </s:c>
      <s:c r="J83" s="18">
        <s:f>'Company Data'!J14</s:f>
        <s:v>38694.0</s:v>
      </s:c>
      <s:c r="K83" s="18">
        <s:f>'Company Data'!K14</s:f>
        <s:v>10210.4</s:v>
      </s:c>
      <s:c r="L83" s="18">
        <s:f>'Company Data'!L14</s:f>
        <s:v>1516.0</s:v>
      </s:c>
      <s:c r="M83" s="18">
        <s:f>'Company Data'!M14</s:f>
        <s:v>27624.0</s:v>
      </s:c>
    </s:row>
    <s:row r="84" ht="24" customHeight="1">
      <s:c r="A84" s="2" t="inlineStr">
        <s:is>
          <s:t>Gross profit ($m)</s:t>
        </s:is>
      </s:c>
      <s:c r="B84" s="18" t="n">
        <s:v>177768</s:v>
      </s:c>
      <s:c r="C84" s="18" t="n">
        <s:v>29269</s:v>
      </s:c>
      <s:c r="D84" s="18" t="n">
        <s:v>35349</s:v>
      </s:c>
      <s:c r="E84" s="18" t="n">
        <s:v>54865</s:v>
      </s:c>
      <s:c r="F84" s="18" t="n">
        <s:v>28885</s:v>
      </s:c>
      <s:c r="G84" s="18" t="n">
        <s:v>19911</s:v>
      </s:c>
      <s:c r="H84" s="18" t="n">
        <s:v>29544</s:v>
      </s:c>
      <s:c r="I84" s="18" t="n">
        <s:v>50859</s:v>
      </s:c>
      <s:c r="J84" s="18" t="n">
        <s:v>43670</s:v>
      </s:c>
      <s:c r="K84" s="18" t="n">
        <s:v>8467.299999999999</s:v>
      </s:c>
      <s:c r="L84" s="18" t="n">
        <s:v>3792</s:v>
      </s:c>
      <s:c r="M84" s="18" t="n">
        <s:v>15312</s:v>
      </s:c>
    </s:row>
    <s:row r="85" ht="24" customHeight="1">
      <s:c r="A85" s="2" t="inlineStr">
        <s:is>
          <s:t>Cost of revenue ($m)</s:t>
        </s:is>
      </s:c>
      <s:c r="B85" s="18" t="n">
        <s:v>535395</s:v>
      </s:c>
      <s:c r="C85" s="18" t="n">
        <s:v>75511</s:v>
      </s:c>
      <s:c r="D85" s="18" t="n">
        <s:v>239886</s:v>
      </s:c>
      <s:c r="E85" s="18" t="n">
        <s:v>109818</s:v>
      </s:c>
      <s:c r="F85" s="18" t="n">
        <s:v>57401</s:v>
      </s:c>
      <s:c r="G85" s="18" t="n">
        <s:v>26487</s:v>
      </s:c>
      <s:c r="H85" s="18" t="n">
        <s:v>18397</s:v>
      </s:c>
      <s:c r="I85" s="18" t="n">
        <s:v>43066</s:v>
      </s:c>
      <s:c r="J85" s="18" t="n">
        <s:v>43362</s:v>
      </s:c>
      <s:c r="K85" s="18" t="n">
        <s:v>28717.1</s:v>
      </s:c>
      <s:c r="L85" s="18" t="n">
        <s:v>4422</s:v>
      </s:c>
      <s:c r="M85" s="18" t="n">
        <s:v>48052</s:v>
      </s:c>
    </s:row>
    <s:row r="86" ht="24" customHeight="1">
      <s:c r="A86" s="2" t="inlineStr">
        <s:is>
          <s:t>Interest expense ($m)</s:t>
        </s:is>
      </s:c>
      <s:c r="B86" s="18" t="n">
        <s:v>2799</s:v>
      </s:c>
      <s:c r="C86" s="18" t="n">
        <s:v>445</s:v>
      </s:c>
      <s:c r="D86" s="18" t="n">
        <s:v>154</s:v>
      </s:c>
      <s:c r="E86" s="18" t="n">
        <s:v>2412</s:v>
      </s:c>
      <s:c r="F86" s="18" t="n">
        <s:v>1527</s:v>
      </s:c>
      <s:c r="G86" s="18">
        <s:f>278-50</s:f>
        <s:v>228.0</s:v>
      </s:c>
      <s:c r="H86" s="18" t="n">
        <s:v>1654</s:v>
      </s:c>
      <s:c r="I86" s="18" t="n">
        <s:v>1121</s:v>
      </s:c>
      <s:c r="J86" s="18" t="n">
        <s:v>877</s:v>
      </s:c>
      <s:c r="K86" s="18" t="n">
        <s:v>542.6</s:v>
      </s:c>
      <s:c r="L86" s="18" t="n">
        <s:v>501</s:v>
      </s:c>
      <s:c r="M86" s="18" t="n">
        <s:v>679</s:v>
      </s:c>
    </s:row>
    <s:row r="87" ht="24" customHeight="1">
      <s:c r="A87" s="2" t="inlineStr">
        <s:is>
          <s:t>Total debt ($m)</s:t>
        </s:is>
      </s:c>
      <s:c r="B87" s="18" t="n">
        <s:v>67095</s:v>
      </s:c>
      <s:c r="C87" s="18" t="n">
        <s:v>20290</s:v>
      </s:c>
      <s:c r="D87" s="18" t="n">
        <s:v>8173</s:v>
      </s:c>
      <s:c r="E87" s="18" t="n">
        <s:v>65350</s:v>
      </s:c>
      <s:c r="F87" s="18" t="n">
        <s:v>44677</s:v>
      </s:c>
      <s:c r="G87" s="18" t="n">
        <s:v>11033</s:v>
      </s:c>
      <s:c r="H87" s="18" t="n">
        <s:v>45492</s:v>
      </s:c>
      <s:c r="I87" s="18" t="n">
        <s:v>49901</s:v>
      </s:c>
      <s:c r="J87" s="18" t="n">
        <s:v>35026</s:v>
      </s:c>
      <s:c r="K87" s="18" t="n">
        <s:v>26611.5</s:v>
      </s:c>
      <s:c r="L87" s="18" t="n">
        <s:v>13189</s:v>
      </s:c>
      <s:c r="M87" s="18" t="n">
        <s:v>20274</s:v>
      </s:c>
    </s:row>
    <s:row r="88" ht="24" customHeight="1">
      <s:c r="A88" s="2" t="inlineStr">
        <s:is>
          <s:t>Inventory ($m)</s:t>
        </s:is>
      </s:c>
      <s:c r="B88" s="18" t="n">
        <s:v>58851</s:v>
      </s:c>
      <s:c r="C88" s="18" t="n">
        <s:v>12304</s:v>
      </s:c>
      <s:c r="D88" s="18" t="n">
        <s:v>18116</s:v>
      </s:c>
      <s:c r="E88" s="18" t="n">
        <s:v>25817</s:v>
      </s:c>
      <s:c r="F88" s="18" t="n">
        <s:v>17300</s:v>
      </s:c>
      <s:c r="G88" s="18" t="n">
        <s:v>7501</s:v>
      </s:c>
      <s:c r="H88" s="18" t="n">
        <s:v>4425</s:v>
      </s:c>
      <s:c r="I88" s="18" t="n">
        <s:v>5845</s:v>
      </s:c>
      <s:c r="J88" s="18" t="n">
        <s:v>8170</s:v>
      </s:c>
      <s:c r="K88" s="18" t="n">
        <s:v>2185.6</s:v>
      </s:c>
      <s:c r="L88" s="18" t="inlineStr">
        <s:is>
          <s:t>n/a</s:t>
        </s:is>
      </s:c>
      <s:c r="M88" s="18" t="n">
        <s:v>1601</s:v>
      </s:c>
    </s:row>
    <s:row r="89" ht="24" customHeight="1">
      <s:c r="A89" s="2" t="inlineStr">
        <s:is>
          <s:t>Cash + ST investments ($m)</s:t>
        </s:is>
      </s:c>
      <s:c r="B89" s="18" t="n">
        <s:v>10727</s:v>
      </s:c>
      <s:c r="C89" s="18" t="n">
        <s:v>5488</s:v>
      </s:c>
      <s:c r="D89" s="18" t="n">
        <s:v>15284</s:v>
      </s:c>
      <s:c r="E89" s="18" t="n">
        <s:v>1389</s:v>
      </s:c>
      <s:c r="F89" s="18" t="n">
        <s:v>982</s:v>
      </s:c>
      <s:c r="G89" s="18" t="n">
        <s:v>9027</s:v>
      </s:c>
      <s:c r="H89" s="18" t="n">
        <s:v>15806</s:v>
      </s:c>
      <s:c r="I89" s="18" t="n">
        <s:v>9530</s:v>
      </s:c>
      <s:c r="J89" s="18" t="n">
        <s:v>9942</s:v>
      </s:c>
      <s:c r="K89" s="18" t="n">
        <s:v>3467</s:v>
      </s:c>
      <s:c r="L89" s="18" t="n">
        <s:v>709</s:v>
      </s:c>
      <s:c r="M89" s="18" t="n">
        <s:v>4310</s:v>
      </s:c>
    </s:row>
    <s:row r="90" ht="24" customHeight="1">
      <s:c r="A90" s="2" t="inlineStr">
        <s:is>
          <s:t>Accounts receivable ($m)</s:t>
        </s:is>
      </s:c>
      <s:c r="B90" s="18" t="n">
        <s:v>11172</s:v>
      </s:c>
      <s:c r="C90" s="18" t="n">
        <s:v>1265</s:v>
      </s:c>
      <s:c r="D90" s="18" t="n">
        <s:v>3203</s:v>
      </s:c>
      <s:c r="E90" s="18" t="n">
        <s:v>5030</s:v>
      </s:c>
      <s:c r="F90" s="18" t="n">
        <s:v>1090</s:v>
      </s:c>
      <s:c r="G90" s="18" t="n">
        <s:v>5931</s:v>
      </s:c>
      <s:c r="H90" s="18" t="n">
        <s:v>3038</s:v>
      </s:c>
      <s:c r="I90" s="18" t="n">
        <s:v>9265</s:v>
      </s:c>
      <s:c r="J90" s="18" t="n">
        <s:v>6056</s:v>
      </s:c>
      <s:c r="K90" s="18" t="n">
        <s:v>1277.5</s:v>
      </s:c>
      <s:c r="L90" s="18" t="n">
        <s:v>841</s:v>
      </s:c>
      <s:c r="M90" s="18" t="n">
        <s:v>2850</s:v>
      </s:c>
    </s:row>
    <s:row r="91" ht="8" customHeight="1">
      <s:c r="A91" s="2" t="n"/>
      <s:c r="B91" s="3" t="n"/>
      <s:c r="C91" s="3" t="n"/>
      <s:c r="D91" s="3" t="n"/>
      <s:c r="E91" s="3" t="n"/>
      <s:c r="F91" s="3" t="n"/>
      <s:c r="G91" s="3" t="n"/>
      <s:c r="H91" s="3" t="n"/>
      <s:c r="I91" s="3" t="n"/>
      <s:c r="J91" s="3" t="n"/>
      <s:c r="K91" s="3" t="n"/>
      <s:c r="L91" s="3" t="n"/>
      <s:c r="M91" s="3" t="n"/>
    </s:row>
    <s:row r="92" ht="8" customHeight="1">
      <s:c r="A92" s="2" t="n"/>
      <s:c r="B92" s="3" t="n"/>
      <s:c r="C92" s="3" t="n"/>
      <s:c r="D92" s="3" t="n"/>
      <s:c r="E92" s="3" t="n"/>
      <s:c r="F92" s="3" t="n"/>
      <s:c r="G92" s="3" t="n"/>
      <s:c r="H92" s="3" t="n"/>
      <s:c r="I92" s="3" t="n"/>
      <s:c r="J92" s="3" t="n"/>
      <s:c r="K92" s="3" t="n"/>
      <s:c r="L92" s="3" t="n"/>
      <s:c r="M92" s="3" t="n"/>
    </s:row>
    <s:row r="93" ht="8" customHeight="1">
      <s:c r="A93" s="2" t="n"/>
      <s:c r="B93" s="3" t="n"/>
      <s:c r="C93" s="3" t="n"/>
      <s:c r="D93" s="3" t="n"/>
      <s:c r="E93" s="3" t="n"/>
      <s:c r="F93" s="3" t="n"/>
      <s:c r="G93" s="3" t="n"/>
      <s:c r="H93" s="3" t="n"/>
      <s:c r="I93" s="3" t="n"/>
      <s:c r="J93" s="3" t="n"/>
      <s:c r="K93" s="3" t="n"/>
      <s:c r="L93" s="3" t="n"/>
      <s:c r="M93" s="3" t="n"/>
    </s:row>
    <s:row r="94" ht="24" customHeight="1">
      <s:c r="A94" s="7" t="inlineStr">
        <s:is>
          <s:t>Prior annual period</s:t>
        </s:is>
      </s:c>
      <s:c r="B94" s="17" t="n">
        <s:v>45688</s:v>
      </s:c>
      <s:c r="C94" s="17" t="n">
        <s:v>45688</s:v>
      </s:c>
      <s:c r="D94" s="17" t="n">
        <s:v>45535</s:v>
      </s:c>
      <s:c r="E94" s="17" t="n">
        <s:v>45688</s:v>
      </s:c>
      <s:c r="F94" s="17" t="n">
        <s:v>45688</s:v>
      </s:c>
      <s:c r="G94" s="17" t="n">
        <s:v>45808</s:v>
      </s:c>
      <s:c r="H94" s="17" t="n">
        <s:v>45657</s:v>
      </s:c>
      <s:c r="I94" s="17" t="n">
        <s:v>45657</s:v>
      </s:c>
      <s:c r="J94" s="17" t="n">
        <s:v>45838</s:v>
      </s:c>
      <s:c r="K94" s="17" t="n">
        <s:v>45565</s:v>
      </s:c>
      <s:c r="L94" s="17" t="n">
        <s:v>45657</s:v>
      </s:c>
      <s:c r="M94" s="17" t="n">
        <s:v>45657</s:v>
      </s:c>
    </s:row>
    <s:row r="95" ht="24" customHeight="1">
      <s:c r="A95" s="2" t="inlineStr">
        <s:is>
          <s:t>Revenue ($m)</s:t>
        </s:is>
      </s:c>
      <s:c r="B95" s="18">
        <s:f>'Company Data'!B21</s:f>
        <s:v>680985.0</s:v>
      </s:c>
      <s:c r="C95" s="18">
        <s:f>'Company Data'!C21</s:f>
        <s:v>106566.0</s:v>
      </s:c>
      <s:c r="D95" s="18">
        <s:f>'Company Data'!D21</s:f>
        <s:v>254453.0</s:v>
      </s:c>
      <s:c r="E95" s="18">
        <s:f>'Company Data'!E21</s:f>
        <s:v>159514.0</s:v>
      </s:c>
      <s:c r="F95" s="18">
        <s:f>'Company Data'!F21</s:f>
        <s:v>83674.0</s:v>
      </s:c>
      <s:c r="G95" s="18">
        <s:f>'Company Data'!G21</s:f>
        <s:v>46309.0</s:v>
      </s:c>
      <s:c r="H95" s="18">
        <s:f>'Company Data'!H21</s:f>
        <s:v>47061.0</s:v>
      </s:c>
      <s:c r="I95" s="18">
        <s:f>'Company Data'!I21</s:f>
        <s:v>91854.0</s:v>
      </s:c>
      <s:c r="J95" s="18">
        <s:f>'Company Data'!J21</s:f>
        <s:v>84284.0</s:v>
      </s:c>
      <s:c r="K95" s="18">
        <s:f>'Company Data'!K21</s:f>
        <s:v>36176.2</s:v>
      </s:c>
      <s:c r="L95" s="18">
        <s:f>'Company Data'!L21</s:f>
        <s:v>7549.0</s:v>
      </s:c>
      <s:c r="M95" s="18">
        <s:f>'Company Data'!M21</s:f>
        <s:v>61643.0</s:v>
      </s:c>
    </s:row>
    <s:row r="96" ht="24" customHeight="1">
      <s:c r="A96" s="2" t="inlineStr">
        <s:is>
          <s:t>Net income ($m)</s:t>
        </s:is>
      </s:c>
      <s:c r="B96" s="18">
        <s:f>'Company Data'!B22</s:f>
        <s:v>19436.0</s:v>
      </s:c>
      <s:c r="C96" s="18">
        <s:f>'Company Data'!C22</s:f>
        <s:v>4091.0</s:v>
      </s:c>
      <s:c r="D96" s="18">
        <s:f>'Company Data'!D22</s:f>
        <s:v>7367.0</s:v>
      </s:c>
      <s:c r="E96" s="18">
        <s:f>'Company Data'!E22</s:f>
        <s:v>14806.0</s:v>
      </s:c>
      <s:c r="F96" s="18">
        <s:f>'Company Data'!F22</s:f>
        <s:v>6957.0</s:v>
      </s:c>
      <s:c r="G96" s="18">
        <s:f>'Company Data'!G22</s:f>
        <s:v>3219.0</s:v>
      </s:c>
      <s:c r="H96" s="18">
        <s:f>'Company Data'!H22</s:f>
        <s:v>10631.0</s:v>
      </s:c>
      <s:c r="I96" s="18">
        <s:f>'Company Data'!I22</s:f>
        <s:v>9578.0</s:v>
      </s:c>
      <s:c r="J96" s="18">
        <s:f>'Company Data'!J22</s:f>
        <s:v>15974.0</s:v>
      </s:c>
      <s:c r="K96" s="18">
        <s:f>'Company Data'!K22</s:f>
        <s:v>3760.9</s:v>
      </s:c>
      <s:c r="L96" s="18">
        <s:f>'Company Data'!L22</s:f>
        <s:v>1486.0</s:v>
      </s:c>
      <s:c r="M96" s="18">
        <s:f>'Company Data'!M22</s:f>
        <s:v>3457.0</s:v>
      </s:c>
    </s:row>
    <s:row r="97" ht="24" customHeight="1">
      <s:c r="A97" s="2" t="inlineStr">
        <s:is>
          <s:t>Total assets ($m)</s:t>
        </s:is>
      </s:c>
      <s:c r="B97" s="18">
        <s:f>'Company Data'!B25</s:f>
        <s:v>260823.0</s:v>
      </s:c>
      <s:c r="C97" s="18">
        <s:f>'Company Data'!C25</s:f>
        <s:v>57769.0</s:v>
      </s:c>
      <s:c r="D97" s="18">
        <s:f>'Company Data'!D25</s:f>
        <s:v>69831.0</s:v>
      </s:c>
      <s:c r="E97" s="18">
        <s:f>'Company Data'!E25</s:f>
        <s:v>96119.0</s:v>
      </s:c>
      <s:c r="F97" s="18">
        <s:f>'Company Data'!F25</s:f>
        <s:v>43102.0</s:v>
      </s:c>
      <s:c r="G97" s="18">
        <s:f>'Company Data'!G25</s:f>
        <s:v>36579.0</s:v>
      </s:c>
      <s:c r="H97" s="18">
        <s:f>'Company Data'!H25</s:f>
        <s:v>100549.0</s:v>
      </s:c>
      <s:c r="I97" s="18">
        <s:f>'Company Data'!I25</s:f>
        <s:v>99467.0</s:v>
      </s:c>
      <s:c r="J97" s="18">
        <s:f>'Company Data'!J25</s:f>
        <s:v>125231.0</s:v>
      </s:c>
      <s:c r="K97" s="18">
        <s:f>'Company Data'!K25</s:f>
        <s:v>31339.3</s:v>
      </s:c>
      <s:c r="L97" s="18">
        <s:f>'Company Data'!L25</s:f>
        <s:v>6727.0</s:v>
      </s:c>
      <s:c r="M97" s="18">
        <s:f>'Company Data'!M25</s:f>
        <s:v>75372.0</s:v>
      </s:c>
    </s:row>
    <s:row r="98" ht="24" customHeight="1">
      <s:c r="A98" s="2" t="inlineStr">
        <s:is>
          <s:t>Book equity ($m)</s:t>
        </s:is>
      </s:c>
      <s:c r="B98" s="18">
        <s:f>'Company Data'!B30</s:f>
        <s:v>91013.0</s:v>
      </s:c>
      <s:c r="C98" s="18">
        <s:f>'Company Data'!C30</s:f>
        <s:v>14666.0</s:v>
      </s:c>
      <s:c r="D98" s="18">
        <s:f>'Company Data'!D30</s:f>
        <s:v>23622.0</s:v>
      </s:c>
      <s:c r="E98" s="18">
        <s:f>'Company Data'!E30</s:f>
        <s:v>6640.0</s:v>
      </s:c>
      <s:c r="F98" s="18">
        <s:f>'Company Data'!F30</s:f>
        <s:v>-14231.0</s:v>
      </s:c>
      <s:c r="G98" s="18">
        <s:f>'Company Data'!G30</s:f>
        <s:v>13213.0</s:v>
      </s:c>
      <s:c r="H98" s="18">
        <s:f>'Company Data'!H30</s:f>
        <s:v>24856.0</s:v>
      </s:c>
      <s:c r="I98" s="18">
        <s:f>'Company Data'!I30</s:f>
        <s:v>18041.0</s:v>
      </s:c>
      <s:c r="J98" s="18">
        <s:f>'Company Data'!J30</s:f>
        <s:v>52012.0</s:v>
      </s:c>
      <s:c r="K98" s="18">
        <s:f>'Company Data'!K30</s:f>
        <s:v>-7448.9</s:v>
      </s:c>
      <s:c r="L98" s="18">
        <s:f>'Company Data'!L30</s:f>
        <s:v>-7648.0</s:v>
      </s:c>
      <s:c r="M98" s="18">
        <s:f>'Company Data'!M30</s:f>
        <s:v>15293.0</s:v>
      </s:c>
    </s:row>
    <s:row r="99" ht="24" customHeight="1">
      <s:c r="A99" s="2" t="inlineStr">
        <s:is>
          <s:t>EBIT ($m)</s:t>
        </s:is>
      </s:c>
      <s:c r="B99" s="18">
        <s:f>'Company Data'!B26</s:f>
        <s:v>29037.0</s:v>
      </s:c>
      <s:c r="C99" s="18">
        <s:f>'Company Data'!C26</s:f>
        <s:v>5672.0</s:v>
      </s:c>
      <s:c r="D99" s="18">
        <s:f>'Company Data'!D26</s:f>
        <s:v>9909.0</s:v>
      </s:c>
      <s:c r="E99" s="18">
        <s:f>'Company Data'!E26</s:f>
        <s:v>21727.0</s:v>
      </s:c>
      <s:c r="F99" s="18">
        <s:f>'Company Data'!F26</s:f>
        <s:v>10625.0</s:v>
      </s:c>
      <s:c r="G99" s="18">
        <s:f>'Company Data'!G26</s:f>
        <s:v>3702.0</s:v>
      </s:c>
      <s:c r="H99" s="18">
        <s:f>'Company Data'!H26</s:f>
        <s:v>14742.0</s:v>
      </s:c>
      <s:c r="I99" s="18">
        <s:f>'Company Data'!I26</s:f>
        <s:v>12865.0</s:v>
      </s:c>
      <s:c r="J99" s="18">
        <s:f>'Company Data'!J26</s:f>
        <s:v>21074.0</s:v>
      </s:c>
      <s:c r="K99" s="18">
        <s:f>'Company Data'!K26</s:f>
        <s:v>5531.6</s:v>
      </s:c>
      <s:c r="L99" s="18">
        <s:f>'Company Data'!L26</s:f>
        <s:v>2389.0</s:v>
      </s:c>
      <s:c r="M99" s="18">
        <s:f>'Company Data'!M26</s:f>
        <s:v>5405.0</s:v>
      </s:c>
    </s:row>
    <s:row r="100" ht="24" customHeight="1">
      <s:c r="A100" s="2" t="inlineStr">
        <s:is>
          <s:t>Current assets ($m)</s:t>
        </s:is>
      </s:c>
      <s:c r="B100" s="18">
        <s:f>'Company Data'!B28</s:f>
        <s:v>79458.0</s:v>
      </s:c>
      <s:c r="C100" s="18">
        <s:f>'Company Data'!C28</s:f>
        <s:v>19454.0</s:v>
      </s:c>
      <s:c r="D100" s="18">
        <s:f>'Company Data'!D28</s:f>
        <s:v>34246.0</s:v>
      </s:c>
      <s:c r="E100" s="18">
        <s:f>'Company Data'!E28</s:f>
        <s:v>31683.0</s:v>
      </s:c>
      <s:c r="F100" s="18">
        <s:f>'Company Data'!F28</s:f>
        <s:v>20358.0</s:v>
      </s:c>
      <s:c r="G100" s="18">
        <s:f>'Company Data'!G28</s:f>
        <s:v>23362.0</s:v>
      </s:c>
      <s:c r="H100" s="18">
        <s:f>'Company Data'!H28</s:f>
        <s:v>25997.0</s:v>
      </s:c>
      <s:c r="I100" s="18">
        <s:f>'Company Data'!I28</s:f>
        <s:v>25826.0</s:v>
      </s:c>
      <s:c r="J100" s="18">
        <s:f>'Company Data'!J28</s:f>
        <s:v>25392.0</s:v>
      </s:c>
      <s:c r="K100" s="18">
        <s:f>'Company Data'!K28</s:f>
        <s:v>6847.4</s:v>
      </s:c>
      <s:c r="L100" s="18">
        <s:f>'Company Data'!L28</s:f>
        <s:v>1871.0</s:v>
      </s:c>
      <s:c r="M100" s="18">
        <s:f>'Company Data'!M28</s:f>
        <s:v>9844.0</s:v>
      </s:c>
    </s:row>
    <s:row r="101" ht="24" customHeight="1">
      <s:c r="A101" s="2" t="inlineStr">
        <s:is>
          <s:t>Current liabilities ($m)</s:t>
        </s:is>
      </s:c>
      <s:c r="B101" s="18">
        <s:f>'Company Data'!B29</s:f>
        <s:v>96584.0</s:v>
      </s:c>
      <s:c r="C101" s="18">
        <s:f>'Company Data'!C29</s:f>
        <s:v>20799.0</s:v>
      </s:c>
      <s:c r="D101" s="18">
        <s:f>'Company Data'!D29</s:f>
        <s:v>35464.0</s:v>
      </s:c>
      <s:c r="E101" s="18">
        <s:f>'Company Data'!E29</s:f>
        <s:v>28661.0</s:v>
      </s:c>
      <s:c r="F101" s="18">
        <s:f>'Company Data'!F29</s:f>
        <s:v>18757.0</s:v>
      </s:c>
      <s:c r="G101" s="18">
        <s:f>'Company Data'!G29</s:f>
        <s:v>10566.0</s:v>
      </s:c>
      <s:c r="H101" s="18">
        <s:f>'Company Data'!H29</s:f>
        <s:v>25249.0</s:v>
      </s:c>
      <s:c r="I101" s="18">
        <s:f>'Company Data'!I29</s:f>
        <s:v>31536.0</s:v>
      </s:c>
      <s:c r="J101" s="18">
        <s:f>'Company Data'!J29</s:f>
        <s:v>36058.0</s:v>
      </s:c>
      <s:c r="K101" s="18">
        <s:f>'Company Data'!K29</s:f>
        <s:v>9070.0</s:v>
      </s:c>
      <s:c r="L101" s="18">
        <s:f>'Company Data'!L29</s:f>
        <s:v>1269.0</s:v>
      </s:c>
      <s:c r="M101" s="18">
        <s:f>'Company Data'!M29</s:f>
        <s:v>26670.0</s:v>
      </s:c>
    </s:row>
    <s:row r="102" ht="24" customHeight="1">
      <s:c r="A102" s="2" t="inlineStr">
        <s:is>
          <s:t>Gross profit ($m)</s:t>
        </s:is>
      </s:c>
      <s:c r="B102" s="18" t="n">
        <s:v>169232</s:v>
      </s:c>
      <s:c r="C102" s="18" t="n">
        <s:v>30064</s:v>
      </s:c>
      <s:c r="D102" s="18" t="n">
        <s:v>32095</s:v>
      </s:c>
      <s:c r="E102" s="18" t="n">
        <s:v>53308</s:v>
      </s:c>
      <s:c r="F102" s="18" t="n">
        <s:v>27877</s:v>
      </s:c>
      <s:c r="G102" s="18" t="n">
        <s:v>19790</s:v>
      </s:c>
      <s:c r="H102" s="18" t="n">
        <s:v>28737</s:v>
      </s:c>
      <s:c r="I102" s="18" t="n">
        <s:v>50110</s:v>
      </s:c>
      <s:c r="J102" s="18" t="n">
        <s:v>43120</s:v>
      </s:c>
      <s:c r="K102" s="18" t="n">
        <s:v>9709.1</s:v>
      </s:c>
      <s:c r="L102" s="18" t="n">
        <s:v>3584</s:v>
      </s:c>
      <s:c r="M102" s="18" t="n">
        <s:v>15168</s:v>
      </s:c>
    </s:row>
    <s:row r="103" ht="24" customHeight="1">
      <s:c r="A103" s="2" t="inlineStr">
        <s:is>
          <s:t>Cost of revenue ($m)</s:t>
        </s:is>
      </s:c>
      <s:c r="B103" s="18" t="n">
        <s:v>511753</s:v>
      </s:c>
      <s:c r="C103" s="18" t="n">
        <s:v>76502</s:v>
      </s:c>
      <s:c r="D103" s="18" t="n">
        <s:v>222358</s:v>
      </s:c>
      <s:c r="E103" s="18" t="n">
        <s:v>106206</s:v>
      </s:c>
      <s:c r="F103" s="18" t="n">
        <s:v>55797</s:v>
      </s:c>
      <s:c r="G103" s="18" t="n">
        <s:v>26519</s:v>
      </s:c>
      <s:c r="H103" s="18" t="n">
        <s:v>18324</s:v>
      </s:c>
      <s:c r="I103" s="18" t="n">
        <s:v>41744</s:v>
      </s:c>
      <s:c r="J103" s="18" t="n">
        <s:v>41164</s:v>
      </s:c>
      <s:c r="K103" s="18" t="n">
        <s:v>26467.1</s:v>
      </s:c>
      <s:c r="L103" s="18" t="n">
        <s:v>3965</s:v>
      </s:c>
      <s:c r="M103" s="18" t="n">
        <s:v>46475</s:v>
      </s:c>
    </s:row>
    <s:row r="104" ht="24" customHeight="1">
      <s:c r="A104" s="2" t="inlineStr">
        <s:is>
          <s:t>Interest expense ($m)</s:t>
        </s:is>
      </s:c>
      <s:c r="B104" s="18" t="n">
        <s:v>2728</s:v>
      </s:c>
      <s:c r="C104" s="18" t="n">
        <s:v>411</s:v>
      </s:c>
      <s:c r="D104" s="18" t="n">
        <s:v>169</s:v>
      </s:c>
      <s:c r="E104" s="18" t="n">
        <s:v>2321</s:v>
      </s:c>
      <s:c r="F104" s="18" t="n">
        <s:v>1472</s:v>
      </s:c>
      <s:c r="G104" s="18">
        <s:f>404-107</s:f>
        <s:v>297.0</s:v>
      </s:c>
      <s:c r="H104" s="18" t="n">
        <s:v>1656</s:v>
      </s:c>
      <s:c r="I104" s="18" t="n">
        <s:v>919</s:v>
      </s:c>
      <s:c r="J104" s="18" t="n">
        <s:v>907</s:v>
      </s:c>
      <s:c r="K104" s="18" t="n">
        <s:v>562</s:v>
      </s:c>
      <s:c r="L104" s="18" t="n">
        <s:v>489</s:v>
      </s:c>
      <s:c r="M104" s="18" t="n">
        <s:v>747</s:v>
      </s:c>
    </s:row>
    <s:row r="105" ht="24" customHeight="1">
      <s:c r="A105" s="2" t="inlineStr">
        <s:is>
          <s:t>Total debt ($m)</s:t>
        </s:is>
      </s:c>
      <s:c r="B105" s="18" t="n">
        <s:v>60114</s:v>
      </s:c>
      <s:c r="C105" s="18" t="n">
        <s:v>19875</s:v>
      </s:c>
      <s:c r="D105" s="18" t="n">
        <s:v>8169</s:v>
      </s:c>
      <s:c r="E105" s="18" t="n">
        <s:v>62290</s:v>
      </s:c>
      <s:c r="F105" s="18" t="n">
        <s:v>39678</s:v>
      </s:c>
      <s:c r="G105" s="18" t="n">
        <s:v>11013</s:v>
      </s:c>
      <s:c r="H105" s="18" t="n">
        <s:v>44522</s:v>
      </s:c>
      <s:c r="I105" s="18" t="n">
        <s:v>44948</s:v>
      </s:c>
      <s:c r="J105" s="18" t="n">
        <s:v>35463</s:v>
      </s:c>
      <s:c r="K105" s="18" t="n">
        <s:v>25803.1</s:v>
      </s:c>
      <s:c r="L105" s="18" t="n">
        <s:v>12286</s:v>
      </s:c>
      <s:c r="M105" s="18" t="n">
        <s:v>22771</s:v>
      </s:c>
    </s:row>
    <s:row r="106" ht="24" customHeight="1">
      <s:c r="A106" s="2" t="inlineStr">
        <s:is>
          <s:t>Inventory ($m)</s:t>
        </s:is>
      </s:c>
      <s:c r="B106" s="18" t="n">
        <s:v>56435</s:v>
      </s:c>
      <s:c r="C106" s="18" t="n">
        <s:v>12740</s:v>
      </s:c>
      <s:c r="D106" s="18" t="n">
        <s:v>18647</s:v>
      </s:c>
      <s:c r="E106" s="18" t="n">
        <s:v>23451</s:v>
      </s:c>
      <s:c r="F106" s="18" t="n">
        <s:v>17409</s:v>
      </s:c>
      <s:c r="G106" s="18" t="n">
        <s:v>7489</s:v>
      </s:c>
      <s:c r="H106" s="18" t="n">
        <s:v>4728</s:v>
      </s:c>
      <s:c r="I106" s="18" t="n">
        <s:v>5306</s:v>
      </s:c>
      <s:c r="J106" s="18" t="n">
        <s:v>7551</s:v>
      </s:c>
      <s:c r="K106" s="18" t="n">
        <s:v>1777.3</s:v>
      </s:c>
      <s:c r="L106" s="18" t="inlineStr">
        <s:is>
          <s:t>n/a</s:t>
        </s:is>
      </s:c>
      <s:c r="M106" s="18" t="n">
        <s:v>1428</s:v>
      </s:c>
    </s:row>
    <s:row r="107" ht="24" customHeight="1">
      <s:c r="A107" s="2" t="inlineStr">
        <s:is>
          <s:t>Cash + ST investments ($m)</s:t>
        </s:is>
      </s:c>
      <s:c r="B107" s="18" t="n">
        <s:v>9037</s:v>
      </s:c>
      <s:c r="C107" s="18" t="n">
        <s:v>4762</s:v>
      </s:c>
      <s:c r="D107" s="18" t="n">
        <s:v>11144</s:v>
      </s:c>
      <s:c r="E107" s="18" t="n">
        <s:v>1659</s:v>
      </s:c>
      <s:c r="F107" s="18" t="n">
        <s:v>1761</s:v>
      </s:c>
      <s:c r="G107" s="18" t="n">
        <s:v>9151</s:v>
      </s:c>
      <s:c r="H107" s="18" t="n">
        <s:v>14571</s:v>
      </s:c>
      <s:c r="I107" s="18" t="n">
        <s:v>9266</s:v>
      </s:c>
      <s:c r="J107" s="18" t="n">
        <s:v>9556</s:v>
      </s:c>
      <s:c r="K107" s="18" t="n">
        <s:v>3543.2</s:v>
      </s:c>
      <s:c r="L107" s="18" t="n">
        <s:v>707</s:v>
      </s:c>
      <s:c r="M107" s="18" t="n">
        <s:v>3069</s:v>
      </s:c>
    </s:row>
    <s:row r="108" ht="24" customHeight="1">
      <s:c r="A108" s="2" t="inlineStr">
        <s:is>
          <s:t>Accounts receivable ($m)</s:t>
        </s:is>
      </s:c>
      <s:c r="B108" s="18" t="n">
        <s:v>9975</s:v>
      </s:c>
      <s:c r="C108" s="18" t="n">
        <s:v>998</s:v>
      </s:c>
      <s:c r="D108" s="18" t="n">
        <s:v>2721</s:v>
      </s:c>
      <s:c r="E108" s="18" t="n">
        <s:v>4319</s:v>
      </s:c>
      <s:c r="F108" s="18" t="n">
        <s:v>94</s:v>
      </s:c>
      <s:c r="G108" s="18" t="n">
        <s:v>4717</s:v>
      </s:c>
      <s:c r="H108" s="18" t="n">
        <s:v>3569</s:v>
      </s:c>
      <s:c r="I108" s="18" t="n">
        <s:v>8487</s:v>
      </s:c>
      <s:c r="J108" s="18" t="n">
        <s:v>6185</s:v>
      </s:c>
      <s:c r="K108" s="18" t="n">
        <s:v>1213.8</s:v>
      </s:c>
      <s:c r="L108" s="18" t="n">
        <s:v>775</s:v>
      </s:c>
      <s:c r="M108" s="18" t="n">
        <s:v>3224</s:v>
      </s:c>
    </s:row>
    <s:row r="109" ht="8" customHeight="1">
      <s:c r="A109" s="2" t="n"/>
      <s:c r="B109" s="3" t="n"/>
      <s:c r="C109" s="3" t="n"/>
      <s:c r="D109" s="3" t="n"/>
      <s:c r="E109" s="3" t="n"/>
      <s:c r="F109" s="3" t="n"/>
      <s:c r="G109" s="3" t="n"/>
      <s:c r="H109" s="3" t="n"/>
      <s:c r="I109" s="3" t="n"/>
      <s:c r="J109" s="3" t="n"/>
      <s:c r="K109" s="3" t="n"/>
      <s:c r="L109" s="3" t="n"/>
      <s:c r="M109" s="3" t="n"/>
    </s:row>
    <s:row r="110" ht="8" customHeight="1">
      <s:c r="A110" s="2" t="n"/>
      <s:c r="B110" s="3" t="n"/>
      <s:c r="C110" s="3" t="n"/>
      <s:c r="D110" s="3" t="n"/>
      <s:c r="E110" s="3" t="n"/>
      <s:c r="F110" s="3" t="n"/>
      <s:c r="G110" s="3" t="n"/>
      <s:c r="H110" s="3" t="n"/>
      <s:c r="I110" s="3" t="n"/>
      <s:c r="J110" s="3" t="n"/>
      <s:c r="K110" s="3" t="n"/>
      <s:c r="L110" s="3" t="n"/>
      <s:c r="M110" s="3" t="n"/>
    </s:row>
    <s:row r="111" ht="8" customHeight="1">
      <s:c r="A111" s="2" t="n"/>
      <s:c r="B111" s="3" t="n"/>
      <s:c r="C111" s="3" t="n"/>
      <s:c r="D111" s="3" t="n"/>
      <s:c r="E111" s="3" t="n"/>
      <s:c r="F111" s="3" t="n"/>
      <s:c r="G111" s="3" t="n"/>
      <s:c r="H111" s="3" t="n"/>
      <s:c r="I111" s="3" t="n"/>
      <s:c r="J111" s="3" t="n"/>
      <s:c r="K111" s="3" t="n"/>
      <s:c r="L111" s="3" t="n"/>
      <s:c r="M111" s="3" t="n"/>
    </s:row>
    <s:row r="112" ht="24" customHeight="1">
      <s:c r="A112" s="7" t="inlineStr">
        <s:is>
          <s:t>Two years prior</s:t>
        </s:is>
      </s:c>
      <s:c r="B112" s="17" t="n">
        <s:v>45322</s:v>
      </s:c>
      <s:c r="C112" s="17" t="n">
        <s:v>45322</s:v>
      </s:c>
      <s:c r="D112" s="17" t="n">
        <s:v>45169</s:v>
      </s:c>
      <s:c r="E112" s="17" t="n">
        <s:v>45322</s:v>
      </s:c>
      <s:c r="F112" s="17" t="n">
        <s:v>45322</s:v>
      </s:c>
      <s:c r="G112" s="17" t="n">
        <s:v>45443</s:v>
      </s:c>
      <s:c r="H112" s="17" t="n">
        <s:v>45291</s:v>
      </s:c>
      <s:c r="I112" s="17" t="n">
        <s:v>45291</s:v>
      </s:c>
      <s:c r="J112" s="17" t="n">
        <s:v>45473</s:v>
      </s:c>
      <s:c r="K112" s="17" t="n">
        <s:v>45199</s:v>
      </s:c>
      <s:c r="L112" s="17" t="n">
        <s:v>45291</s:v>
      </s:c>
      <s:c r="M112" s="17" t="n">
        <s:v>45291</s:v>
      </s:c>
    </s:row>
    <s:row r="113" ht="24" customHeight="1">
      <s:c r="A113" s="2" t="inlineStr">
        <s:is>
          <s:t>Revenue ($m)</s:t>
        </s:is>
      </s:c>
      <s:c r="B113" s="18">
        <s:f>'DuPont'!B30</s:f>
        <s:v>648125.0</s:v>
      </s:c>
      <s:c r="C113" s="18">
        <s:f>'DuPont'!C30</s:f>
        <s:v>107412.0</s:v>
      </s:c>
      <s:c r="D113" s="18">
        <s:f>'DuPont'!D30</s:f>
        <s:v>242290.0</s:v>
      </s:c>
      <s:c r="E113" s="18">
        <s:f>'DuPont'!E30</s:f>
        <s:v>152669.0</s:v>
      </s:c>
      <s:c r="F113" s="18">
        <s:f>'DuPont'!F30</s:f>
        <s:v>86377.0</s:v>
      </s:c>
      <s:c r="G113" s="18">
        <s:f>'DuPont'!G30</s:f>
        <s:v>51362.0</s:v>
      </s:c>
      <s:c r="H113" s="18">
        <s:f>'DuPont'!H30</s:f>
        <s:v>45754.0</s:v>
      </s:c>
      <s:c r="I113" s="18">
        <s:f>'DuPont'!I30</s:f>
        <s:v>91471.0</s:v>
      </s:c>
      <s:c r="J113" s="18">
        <s:f>'DuPont'!J30</s:f>
        <s:v>84039.0</s:v>
      </s:c>
      <s:c r="K113" s="18">
        <s:f>'DuPont'!K30</s:f>
        <s:v>35975.6</s:v>
      </s:c>
      <s:c r="L113" s="18">
        <s:f>'DuPont'!L30</s:f>
        <s:v>7076.0</s:v>
      </s:c>
      <s:c r="M113" s="18">
        <s:f>'DuPont'!M30</s:f>
        <s:v>58048.0</s:v>
      </s:c>
    </s:row>
    <s:row r="114" ht="24" customHeight="1">
      <s:c r="A114" s="2" t="inlineStr">
        <s:is>
          <s:t>Net income ($m)</s:t>
        </s:is>
      </s:c>
      <s:c r="B114" s="18">
        <s:f>'DuPont'!B31</s:f>
        <s:v>15511.0</s:v>
      </s:c>
      <s:c r="C114" s="18">
        <s:f>'DuPont'!C31</s:f>
        <s:v>4138.0</s:v>
      </s:c>
      <s:c r="D114" s="18">
        <s:f>'DuPont'!D31</s:f>
        <s:v>6292.0</s:v>
      </s:c>
      <s:c r="E114" s="18">
        <s:f>'DuPont'!E31</s:f>
        <s:v>15143.0</s:v>
      </s:c>
      <s:c r="F114" s="18">
        <s:f>'DuPont'!F31</s:f>
        <s:v>7726.0</s:v>
      </s:c>
      <s:c r="G114" s="18">
        <s:f>'DuPont'!G31</s:f>
        <s:v>5700.0</s:v>
      </s:c>
      <s:c r="H114" s="18">
        <s:f>'DuPont'!H31</s:f>
        <s:v>10714.0</s:v>
      </s:c>
      <s:c r="I114" s="18">
        <s:f>'DuPont'!I31</s:f>
        <s:v>9074.0</s:v>
      </s:c>
      <s:c r="J114" s="18">
        <s:f>'DuPont'!J31</s:f>
        <s:v>14879.0</s:v>
      </s:c>
      <s:c r="K114" s="18">
        <s:f>'DuPont'!K31</s:f>
        <s:v>4124.5</s:v>
      </s:c>
      <s:c r="L114" s="18">
        <s:f>'DuPont'!L31</s:f>
        <s:v>1597.0</s:v>
      </s:c>
      <s:c r="M114" s="18">
        <s:f>'DuPont'!M31</s:f>
        <s:v>4609.0</s:v>
      </s:c>
    </s:row>
    <s:row r="115" ht="24" customHeight="1">
      <s:c r="A115" s="2" t="inlineStr">
        <s:is>
          <s:t>Total assets ($m)</s:t>
        </s:is>
      </s:c>
      <s:c r="B115" s="18">
        <s:f>'DuPont'!B32</s:f>
        <s:v>252399.0</s:v>
      </s:c>
      <s:c r="C115" s="18">
        <s:f>'DuPont'!C32</s:f>
        <s:v>55356.0</s:v>
      </s:c>
      <s:c r="D115" s="18">
        <s:f>'DuPont'!D32</s:f>
        <s:v>68994.0</s:v>
      </s:c>
      <s:c r="E115" s="18">
        <s:f>'DuPont'!E32</s:f>
        <s:v>76530.0</s:v>
      </s:c>
      <s:c r="F115" s="18">
        <s:f>'DuPont'!F32</s:f>
        <s:v>41795.0</s:v>
      </s:c>
      <s:c r="G115" s="18">
        <s:f>'DuPont'!G32</s:f>
        <s:v>38110.0</s:v>
      </s:c>
      <s:c r="H115" s="18">
        <s:f>'DuPont'!H32</s:f>
        <s:v>97703.0</s:v>
      </s:c>
      <s:c r="I115" s="18">
        <s:f>'DuPont'!I32</s:f>
        <s:v>100495.0</s:v>
      </s:c>
      <s:c r="J115" s="18">
        <s:f>'DuPont'!J32</s:f>
        <s:v>122370.0</s:v>
      </s:c>
      <s:c r="K115" s="18">
        <s:f>'DuPont'!K32</s:f>
        <s:v>29445.5</s:v>
      </s:c>
      <s:c r="L115" s="18">
        <s:f>'DuPont'!L32</s:f>
        <s:v>6231.0</s:v>
      </s:c>
      <s:c r="M115" s="18">
        <s:f>'DuPont'!M32</s:f>
        <s:v>73644.0</s:v>
      </s:c>
    </s:row>
    <s:row r="116" ht="24" customHeight="1">
      <s:c r="A116" s="2" t="inlineStr">
        <s:is>
          <s:t>Book equity ($m)</s:t>
        </s:is>
      </s:c>
      <s:c r="B116" s="18">
        <s:f>'DuPont'!B33</s:f>
        <s:v>83861.0</s:v>
      </s:c>
      <s:c r="C116" s="18">
        <s:f>'DuPont'!C33</s:f>
        <s:v>13432.0</s:v>
      </s:c>
      <s:c r="D116" s="18">
        <s:f>'DuPont'!D33</s:f>
        <s:v>25058.0</s:v>
      </s:c>
      <s:c r="E116" s="18">
        <s:f>'DuPont'!E33</s:f>
        <s:v>1044.0</s:v>
      </s:c>
      <s:c r="F116" s="18">
        <s:f>'DuPont'!F33</s:f>
        <s:v>-15050.0</s:v>
      </s:c>
      <s:c r="G116" s="18">
        <s:f>'DuPont'!G33</s:f>
        <s:v>14430.0</s:v>
      </s:c>
      <s:c r="H116" s="18">
        <s:f>'DuPont'!H33</s:f>
        <s:v>25941.0</s:v>
      </s:c>
      <s:c r="I116" s="18">
        <s:f>'DuPont'!I33</s:f>
        <s:v>18503.0</s:v>
      </s:c>
      <s:c r="J116" s="18">
        <s:f>'DuPont'!J33</s:f>
        <s:v>50286.0</s:v>
      </s:c>
      <s:c r="K116" s="18">
        <s:f>'DuPont'!K33</s:f>
        <s:v>-7994.8</s:v>
      </s:c>
      <s:c r="L116" s="18">
        <s:f>'DuPont'!L33</s:f>
        <s:v>-7858.0</s:v>
      </s:c>
      <s:c r="M116" s="18">
        <s:f>'DuPont'!M33</s:f>
        <s:v>11105.0</s:v>
      </s:c>
    </s:row>
    <s:row r="117" ht="24" customHeight="1">
      <s:c r="A117" s="2" t="inlineStr">
        <s:is>
          <s:t>EBIT ($m)</s:t>
        </s:is>
      </s:c>
      <s:c r="B117" s="18" t="n">
        <s:v>24531</s:v>
      </s:c>
      <s:c r="C117" s="18" t="n">
        <s:v>5799</s:v>
      </s:c>
      <s:c r="D117" s="18" t="n">
        <s:v>8647</s:v>
      </s:c>
      <s:c r="E117" s="18" t="n">
        <s:v>21867</s:v>
      </s:c>
      <s:c r="F117" s="18" t="n">
        <s:v>11658</s:v>
      </s:c>
      <s:c r="G117" s="18" t="n">
        <s:v>6311</s:v>
      </s:c>
      <s:c r="H117" s="18" t="n">
        <s:v>14479</s:v>
      </s:c>
      <s:c r="I117" s="18" t="n">
        <s:v>12236</s:v>
      </s:c>
      <s:c r="J117" s="18" t="n">
        <s:v>19686</s:v>
      </s:c>
      <s:c r="K117" s="18" t="n">
        <s:v>5952</s:v>
      </s:c>
      <s:c r="L117" s="18" t="n">
        <s:v>2331</s:v>
      </s:c>
      <s:c r="M117" s="18" t="n">
        <s:v>6442</s:v>
      </s:c>
    </s:row>
    <s:row r="118" ht="24" customHeight="1">
      <s:c r="A118" s="2" t="inlineStr">
        <s:is>
          <s:t>Current assets ($m)</s:t>
        </s:is>
      </s:c>
      <s:c r="B118" s="18" t="n">
        <s:v>76877</s:v>
      </s:c>
      <s:c r="C118" s="18" t="n">
        <s:v>17498</s:v>
      </s:c>
      <s:c r="D118" s="18" t="n">
        <s:v>35879</s:v>
      </s:c>
      <s:c r="E118" s="18" t="n">
        <s:v>29775</s:v>
      </s:c>
      <s:c r="F118" s="18" t="n">
        <s:v>19071</s:v>
      </s:c>
      <s:c r="G118" s="18" t="n">
        <s:v>25382</s:v>
      </s:c>
      <s:c r="H118" s="18" t="n">
        <s:v>26732</s:v>
      </s:c>
      <s:c r="I118" s="18" t="n">
        <s:v>26950</s:v>
      </s:c>
      <s:c r="J118" s="18" t="n">
        <s:v>24709</s:v>
      </s:c>
      <s:c r="K118" s="18" t="n">
        <s:v>7303.4</s:v>
      </s:c>
      <s:c r="L118" s="18" t="n">
        <s:v>1609</s:v>
      </s:c>
      <s:c r="M118" s="18" t="n">
        <s:v>10269</s:v>
      </s:c>
    </s:row>
    <s:row r="119" ht="24" customHeight="1">
      <s:c r="A119" s="2" t="inlineStr">
        <s:is>
          <s:t>Current liabilities ($m)</s:t>
        </s:is>
      </s:c>
      <s:c r="B119" s="18" t="n">
        <s:v>92415</s:v>
      </s:c>
      <s:c r="C119" s="18" t="n">
        <s:v>19304</s:v>
      </s:c>
      <s:c r="D119" s="18" t="n">
        <s:v>33583</s:v>
      </s:c>
      <s:c r="E119" s="18" t="n">
        <s:v>22015</s:v>
      </s:c>
      <s:c r="F119" s="18" t="n">
        <s:v>15568</s:v>
      </s:c>
      <s:c r="G119" s="18" t="n">
        <s:v>10593</s:v>
      </s:c>
      <s:c r="H119" s="18" t="n">
        <s:v>23571</s:v>
      </s:c>
      <s:c r="I119" s="18" t="n">
        <s:v>31647</s:v>
      </s:c>
      <s:c r="J119" s="18" t="n">
        <s:v>33627</s:v>
      </s:c>
      <s:c r="K119" s="18" t="n">
        <s:v>9345.299999999999</s:v>
      </s:c>
      <s:c r="L119" s="18" t="n">
        <s:v>1277</s:v>
      </s:c>
      <s:c r="M119" s="18" t="n">
        <s:v>26418</s:v>
      </s:c>
    </s:row>
    <s:row r="120" ht="24" customHeight="1">
      <s:c r="A120" s="2" t="inlineStr">
        <s:is>
          <s:t>Gross profit ($m)</s:t>
        </s:is>
      </s:c>
      <s:c r="B120" s="18" t="n">
        <s:v>157983</s:v>
      </s:c>
      <s:c r="C120" s="18" t="n">
        <s:v>29584</s:v>
      </s:c>
      <s:c r="D120" s="18" t="n">
        <s:v>29704</s:v>
      </s:c>
      <s:c r="E120" s="18" t="n">
        <s:v>50960</s:v>
      </s:c>
      <s:c r="F120" s="18" t="n">
        <s:v>28844</s:v>
      </s:c>
      <s:c r="G120" s="18" t="n">
        <s:v>22887</s:v>
      </s:c>
      <s:c r="H120" s="18" t="n">
        <s:v>27234</s:v>
      </s:c>
      <s:c r="I120" s="18" t="n">
        <s:v>49590</s:v>
      </s:c>
      <s:c r="J120" s="18" t="n">
        <s:v>43191</s:v>
      </s:c>
      <s:c r="K120" s="18" t="n">
        <s:v>9846.200000000001</s:v>
      </s:c>
      <s:c r="L120" s="18" t="n">
        <s:v>3496</s:v>
      </s:c>
      <s:c r="M120" s="18" t="n">
        <s:v>14135</s:v>
      </s:c>
    </s:row>
    <s:row r="121" ht="24" customHeight="1">
      <s:c r="A121" s="2" t="inlineStr">
        <s:is>
          <s:t>Cost of revenue ($m)</s:t>
        </s:is>
      </s:c>
      <s:c r="B121" s="18" t="n">
        <s:v>490142</s:v>
      </s:c>
      <s:c r="C121" s="18" t="n">
        <s:v>77828</s:v>
      </s:c>
      <s:c r="D121" s="18" t="n">
        <s:v>212586</s:v>
      </s:c>
      <s:c r="E121" s="18" t="n">
        <s:v>101709</s:v>
      </s:c>
      <s:c r="F121" s="18" t="n">
        <s:v>57533</s:v>
      </s:c>
      <s:c r="G121" s="18" t="n">
        <s:v>28475</s:v>
      </s:c>
      <s:c r="H121" s="18" t="n">
        <s:v>18520</s:v>
      </s:c>
      <s:c r="I121" s="18" t="n">
        <s:v>41881</s:v>
      </s:c>
      <s:c r="J121" s="18" t="n">
        <s:v>40848</s:v>
      </s:c>
      <s:c r="K121" s="18" t="n">
        <s:v>26129.4</s:v>
      </s:c>
      <s:c r="L121" s="18" t="n">
        <s:v>3580</s:v>
      </s:c>
      <s:c r="M121" s="18" t="n">
        <s:v>43913</s:v>
      </s:c>
    </s:row>
    <s:row r="122" ht="24" customHeight="1">
      <s:c r="A122" s="2" t="inlineStr">
        <s:is>
          <s:t>Interest expense ($m)</s:t>
        </s:is>
      </s:c>
      <s:c r="B122" s="18" t="n">
        <s:v>2683</s:v>
      </s:c>
      <s:c r="C122" s="18" t="n">
        <s:v>502</s:v>
      </s:c>
      <s:c r="D122" s="18" t="n">
        <s:v>160</s:v>
      </s:c>
      <s:c r="E122" s="18" t="n">
        <s:v>1943</s:v>
      </s:c>
      <s:c r="F122" s="18" t="n">
        <s:v>1483</s:v>
      </s:c>
      <s:c r="G122" s="18">
        <s:f>430-161</s:f>
        <s:v>269.0</s:v>
      </s:c>
      <s:c r="H122" s="18" t="n">
        <s:v>1527</s:v>
      </s:c>
      <s:c r="I122" s="18" t="n">
        <s:v>819</s:v>
      </s:c>
      <s:c r="J122" s="18" t="n">
        <s:v>925</s:v>
      </s:c>
      <s:c r="K122" s="18" t="n">
        <s:v>550.1</s:v>
      </s:c>
      <s:c r="L122" s="18" t="n">
        <s:v>513</s:v>
      </s:c>
      <s:c r="M122" s="18" t="n">
        <s:v>834</s:v>
      </s:c>
    </s:row>
    <s:row r="123" ht="24" customHeight="1">
      <s:c r="A123" s="2" t="inlineStr">
        <s:is>
          <s:t>Total debt ($m)</s:t>
        </s:is>
      </s:c>
      <s:c r="B123" s="18" t="n">
        <s:v>61321</s:v>
      </s:c>
      <s:c r="C123" s="18" t="n">
        <s:v>19646</s:v>
      </s:c>
      <s:c r="D123" s="18" t="n">
        <s:v>8884</s:v>
      </s:c>
      <s:c r="E123" s="18" t="n">
        <s:v>52243</s:v>
      </s:c>
      <s:c r="F123" s="18" t="n">
        <s:v>40145</s:v>
      </s:c>
      <s:c r="G123" s="18" t="n">
        <s:v>11952</s:v>
      </s:c>
      <s:c r="H123" s="18" t="n">
        <s:v>42064</s:v>
      </s:c>
      <s:c r="I123" s="18" t="n">
        <s:v>44661</s:v>
      </s:c>
      <s:c r="J123" s="18" t="n">
        <s:v>33369</s:v>
      </s:c>
      <s:c r="K123" s="18" t="n">
        <s:v>24599.8</s:v>
      </s:c>
      <s:c r="L123" s="18" t="n">
        <s:v>12031</s:v>
      </s:c>
      <s:c r="M123" s="18" t="n">
        <s:v>27281</s:v>
      </s:c>
    </s:row>
    <s:row r="124" ht="24" customHeight="1">
      <s:c r="A124" s="2" t="inlineStr">
        <s:is>
          <s:t>Inventory ($m)</s:t>
        </s:is>
      </s:c>
      <s:c r="B124" s="18" t="n">
        <s:v>54892</s:v>
      </s:c>
      <s:c r="C124" s="18" t="n">
        <s:v>11886</s:v>
      </s:c>
      <s:c r="D124" s="18" t="n">
        <s:v>16651</s:v>
      </s:c>
      <s:c r="E124" s="18" t="n">
        <s:v>20976</s:v>
      </s:c>
      <s:c r="F124" s="18" t="n">
        <s:v>16894</s:v>
      </s:c>
      <s:c r="G124" s="18" t="n">
        <s:v>7519</s:v>
      </s:c>
      <s:c r="H124" s="18" t="n">
        <s:v>4424</s:v>
      </s:c>
      <s:c r="I124" s="18" t="n">
        <s:v>5334</s:v>
      </s:c>
      <s:c r="J124" s="18" t="n">
        <s:v>7016</s:v>
      </s:c>
      <s:c r="K124" s="18" t="n">
        <s:v>1806.4</s:v>
      </s:c>
      <s:c r="L124" s="18" t="inlineStr">
        <s:is>
          <s:t>n/a</s:t>
        </s:is>
      </s:c>
      <s:c r="M124" s="18" t="n">
        <s:v>1314</s:v>
      </s:c>
    </s:row>
    <s:row r="125" ht="24" customHeight="1">
      <s:c r="A125" s="2" t="inlineStr">
        <s:is>
          <s:t>Cash + ST investments ($m)</s:t>
        </s:is>
      </s:c>
      <s:c r="B125" s="18" t="n">
        <s:v>9867</s:v>
      </s:c>
      <s:c r="C125" s="18" t="n">
        <s:v>3805</s:v>
      </s:c>
      <s:c r="D125" s="18" t="n">
        <s:v>15234</s:v>
      </s:c>
      <s:c r="E125" s="18" t="n">
        <s:v>3760</s:v>
      </s:c>
      <s:c r="F125" s="18" t="n">
        <s:v>921</s:v>
      </s:c>
      <s:c r="G125" s="18" t="n">
        <s:v>11582</s:v>
      </s:c>
      <s:c r="H125" s="18" t="n">
        <s:v>13663</s:v>
      </s:c>
      <s:c r="I125" s="18" t="n">
        <s:v>10003</s:v>
      </s:c>
      <s:c r="J125" s="18" t="n">
        <s:v>9482</s:v>
      </s:c>
      <s:c r="K125" s="18" t="n">
        <s:v>3953</s:v>
      </s:c>
      <s:c r="L125" s="18" t="n">
        <s:v>512</s:v>
      </s:c>
      <s:c r="M125" s="18" t="n">
        <s:v>3868</s:v>
      </s:c>
    </s:row>
    <s:row r="126" ht="24" customHeight="1">
      <s:c r="A126" s="2" t="inlineStr">
        <s:is>
          <s:t>Accounts receivable ($m)</s:t>
        </s:is>
      </s:c>
      <s:c r="B126" s="18" t="n">
        <s:v>8796</s:v>
      </s:c>
      <s:c r="C126" s="18" t="n">
        <s:v>891</s:v>
      </s:c>
      <s:c r="D126" s="18" t="n">
        <s:v>2285</s:v>
      </s:c>
      <s:c r="E126" s="18" t="n">
        <s:v>2753</s:v>
      </s:c>
      <s:c r="F126" s="18" t="inlineStr">
        <s:is>
          <s:t>n/a</s:t>
        </s:is>
      </s:c>
      <s:c r="G126" s="18" t="n">
        <s:v>4427</s:v>
      </s:c>
      <s:c r="H126" s="18" t="n">
        <s:v>3410</s:v>
      </s:c>
      <s:c r="I126" s="18" t="n">
        <s:v>8675</s:v>
      </s:c>
      <s:c r="J126" s="18" t="n">
        <s:v>6118</s:v>
      </s:c>
      <s:c r="K126" s="18" t="n">
        <s:v>1184.1</s:v>
      </s:c>
      <s:c r="L126" s="18" t="n">
        <s:v>737</s:v>
      </s:c>
      <s:c r="M126" s="18" t="n">
        <s:v>3130</s:v>
      </s:c>
    </s:row>
  </s:sheetData>
  <s:mergeCells count="2">
    <s:mergeCell ref="A72:M72"/>
    <s:mergeCell ref="A1:M1"/>
  </s:mergeCells>
  <s:pageMargins left="0.25" right="0.25" top="0.3" bottom="0.3" header="0.5" footer="0.5"/>
  <s:pageSetup orientation="landscape" paperSize="1" fitToHeight="0" fitToWidth="1"/>
  <s:rowBreaks count="2" manualBreakCount="2">
    <s:brk id="26" min="0" max="16383" man="1"/>
    <s:brk id="48" min="0" max="16383" man="1"/>
  </s:rowBreaks>
</s:worksheet>
</file>

<file path=xl/worksheets/sheet4.xml><?xml version="1.0" encoding="utf-8"?>
<s:worksheet xmlns:s="http://schemas.openxmlformats.org/spreadsheetml/2006/main">
  <s:sheetPr>
    <s:outlinePr summaryBelow="1" summaryRight="1"/>
    <s:pageSetUpPr fitToPage="1"/>
  </s:sheetPr>
  <s:dimension ref="A1:M38"/>
  <s:sheetViews>
    <s:sheetView showGridLines="0" zoomScale="85" workbookViewId="0">
      <s:pane xSplit="1" ySplit="5" topLeftCell="B6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9" customWidth="1" min="1" max="1"/>
    <s:col width="12.5" customWidth="1" min="2" max="2"/>
    <s:col width="12.5" customWidth="1" min="3" max="3"/>
    <s:col width="12.5" customWidth="1" min="4" max="4"/>
    <s:col width="12.5" customWidth="1" min="5" max="5"/>
    <s:col width="12.5" customWidth="1" min="6" max="6"/>
    <s:col width="12.5" customWidth="1" min="7" max="7"/>
    <s:col width="12.5" customWidth="1" min="8" max="8"/>
    <s:col width="12.5" customWidth="1" min="9" max="9"/>
    <s:col width="12.5" customWidth="1" min="10" max="10"/>
    <s:col width="12.5" customWidth="1" min="11" max="11"/>
    <s:col width="12.5" customWidth="1" min="12" max="12"/>
    <s:col width="12.5" customWidth="1" min="13" max="13"/>
  </s:cols>
  <s:sheetData>
    <s:row r="1" ht="28" customHeight="1">
      <s:c r="A1" s="1" t="inlineStr">
        <s:is>
          <s:t>Module 2 — DuPont analysis</s:t>
        </s:is>
      </s:c>
    </s:row>
    <s:row r="2" ht="8" customHeight="1">
      <s:c r="A2" s="2" t="n"/>
      <s:c r="B2" s="3" t="n"/>
      <s:c r="C2" s="3" t="n"/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</s:row>
    <s:row r="3" ht="36" customHeight="1">
      <s:c r="A3" s="2" t="inlineStr">
        <s:is>
          <s:t>Company</s:t>
        </s:is>
      </s:c>
      <s:c r="B3" s="4" t="inlineStr">
        <s:is>
          <s:t>Walmart</s:t>
        </s:is>
      </s:c>
      <s:c r="C3" s="4" t="inlineStr">
        <s:is>
          <s:t>Target</s:t>
        </s:is>
      </s:c>
      <s:c r="D3" s="4" t="inlineStr">
        <s:is>
          <s:t>Costco</s:t>
        </s:is>
      </s:c>
      <s:c r="E3" s="4" t="inlineStr">
        <s:is>
          <s:t>Home Depot</s:t>
        </s:is>
      </s:c>
      <s:c r="F3" s="4" t="inlineStr">
        <s:is>
          <s:t>Lowe’s</s:t>
        </s:is>
      </s:c>
      <s:c r="G3" s="4" t="inlineStr">
        <s:is>
          <s:t>Nike</s:t>
        </s:is>
      </s:c>
      <s:c r="H3" s="4" t="inlineStr">
        <s:is>
          <s:t>Coca-Cola</s:t>
        </s:is>
      </s:c>
      <s:c r="I3" s="4" t="inlineStr">
        <s:is>
          <s:t>PepsiCo</s:t>
        </s:is>
      </s:c>
      <s:c r="J3" s="4" t="inlineStr">
        <s:is>
          <s:t>Procter &amp;
Gamble</s:t>
        </s:is>
      </s:c>
      <s:c r="K3" s="4" t="inlineStr">
        <s:is>
          <s:t>Starbucks</s:t>
        </s:is>
      </s:c>
      <s:c r="L3" s="4" t="inlineStr">
        <s:is>
          <s:t>YUM! Brands</s:t>
        </s:is>
      </s:c>
      <s:c r="M3" s="4" t="inlineStr">
        <s:is>
          <s:t>Delta Air
Lines</s:t>
        </s:is>
      </s:c>
    </s:row>
    <s:row r="4" ht="20" customHeight="1">
      <s:c r="A4" s="5" t="inlineStr">
        <s:is>
          <s:t>Ticker</s:t>
        </s:is>
      </s:c>
      <s:c r="B4" s="6" t="inlineStr">
        <s:is>
          <s:t>WMT</s:t>
        </s:is>
      </s:c>
      <s:c r="C4" s="6" t="inlineStr">
        <s:is>
          <s:t>TGT</s:t>
        </s:is>
      </s:c>
      <s:c r="D4" s="6" t="inlineStr">
        <s:is>
          <s:t>COST</s:t>
        </s:is>
      </s:c>
      <s:c r="E4" s="6" t="inlineStr">
        <s:is>
          <s:t>HD</s:t>
        </s:is>
      </s:c>
      <s:c r="F4" s="6" t="inlineStr">
        <s:is>
          <s:t>LOW</s:t>
        </s:is>
      </s:c>
      <s:c r="G4" s="6" t="inlineStr">
        <s:is>
          <s:t>NKE</s:t>
        </s:is>
      </s:c>
      <s:c r="H4" s="6" t="inlineStr">
        <s:is>
          <s:t>KO</s:t>
        </s:is>
      </s:c>
      <s:c r="I4" s="6" t="inlineStr">
        <s:is>
          <s:t>PEP</s:t>
        </s:is>
      </s:c>
      <s:c r="J4" s="6" t="inlineStr">
        <s:is>
          <s:t>PG</s:t>
        </s:is>
      </s:c>
      <s:c r="K4" s="6" t="inlineStr">
        <s:is>
          <s:t>SBUX</s:t>
        </s:is>
      </s:c>
      <s:c r="L4" s="6" t="inlineStr">
        <s:is>
          <s:t>YUM</s:t>
        </s:is>
      </s:c>
      <s:c r="M4" s="6" t="inlineStr">
        <s:is>
          <s:t>DAL</s:t>
        </s:is>
      </s:c>
    </s:row>
    <s:row r="5" ht="24" customHeight="1">
      <s:c r="A5" s="7" t="inlineStr">
        <s:is>
          <s:t>Current annual period</s:t>
        </s:is>
      </s:c>
      <s:c r="B5" s="17" t="n">
        <s:v>46053</s:v>
      </s:c>
      <s:c r="C5" s="17" t="n">
        <s:v>46053</s:v>
      </s:c>
      <s:c r="D5" s="17" t="n">
        <s:v>45900</s:v>
      </s:c>
      <s:c r="E5" s="17" t="n">
        <s:v>46053</s:v>
      </s:c>
      <s:c r="F5" s="17" t="n">
        <s:v>46053</s:v>
      </s:c>
      <s:c r="G5" s="17" t="n">
        <s:v>46173</s:v>
      </s:c>
      <s:c r="H5" s="17" t="n">
        <s:v>46022</s:v>
      </s:c>
      <s:c r="I5" s="17" t="n">
        <s:v>46022</s:v>
      </s:c>
      <s:c r="J5" s="17" t="n">
        <s:v>46203</s:v>
      </s:c>
      <s:c r="K5" s="17" t="n">
        <s:v>45930</s:v>
      </s:c>
      <s:c r="L5" s="17" t="n">
        <s:v>46022</s:v>
      </s:c>
      <s:c r="M5" s="17" t="n">
        <s:v>46022</s:v>
      </s:c>
    </s:row>
    <s:row r="6" ht="24" customHeight="1">
      <s:c r="A6" s="2" t="inlineStr">
        <s:is>
          <s:t>Revenue ($m)</s:t>
        </s:is>
      </s:c>
      <s:c r="B6" s="18">
        <s:f>'Company Data'!B6</s:f>
        <s:v>713163.0</s:v>
      </s:c>
      <s:c r="C6" s="18">
        <s:f>'Company Data'!C6</s:f>
        <s:v>104780.0</s:v>
      </s:c>
      <s:c r="D6" s="18">
        <s:f>'Company Data'!D6</s:f>
        <s:v>275235.0</s:v>
      </s:c>
      <s:c r="E6" s="18">
        <s:f>'Company Data'!E6</s:f>
        <s:v>164683.0</s:v>
      </s:c>
      <s:c r="F6" s="18">
        <s:f>'Company Data'!F6</s:f>
        <s:v>86286.0</s:v>
      </s:c>
      <s:c r="G6" s="18">
        <s:f>'Company Data'!G6</s:f>
        <s:v>46398.0</s:v>
      </s:c>
      <s:c r="H6" s="18">
        <s:f>'Company Data'!H6</s:f>
        <s:v>47941.0</s:v>
      </s:c>
      <s:c r="I6" s="18">
        <s:f>'Company Data'!I6</s:f>
        <s:v>93925.0</s:v>
      </s:c>
      <s:c r="J6" s="18">
        <s:f>'Company Data'!J6</s:f>
        <s:v>87032.0</s:v>
      </s:c>
      <s:c r="K6" s="18">
        <s:f>'Company Data'!K6</s:f>
        <s:v>37184.4</s:v>
      </s:c>
      <s:c r="L6" s="18">
        <s:f>'Company Data'!L6</s:f>
        <s:v>8214.0</s:v>
      </s:c>
      <s:c r="M6" s="18">
        <s:f>'Company Data'!M6</s:f>
        <s:v>63364.0</s:v>
      </s:c>
    </s:row>
    <s:row r="7" ht="24" customHeight="1">
      <s:c r="A7" s="2" t="inlineStr">
        <s:is>
          <s:t>Net income ($m)</s:t>
        </s:is>
      </s:c>
      <s:c r="B7" s="18">
        <s:f>'Company Data'!B7</s:f>
        <s:v>21893.0</s:v>
      </s:c>
      <s:c r="C7" s="18">
        <s:f>'Company Data'!C7</s:f>
        <s:v>3705.0</s:v>
      </s:c>
      <s:c r="D7" s="18">
        <s:f>'Company Data'!D7</s:f>
        <s:v>8099.0</s:v>
      </s:c>
      <s:c r="E7" s="18">
        <s:f>'Company Data'!E7</s:f>
        <s:v>14156.0</s:v>
      </s:c>
      <s:c r="F7" s="18">
        <s:f>'Company Data'!F7</s:f>
        <s:v>6654.0</s:v>
      </s:c>
      <s:c r="G7" s="18">
        <s:f>'Company Data'!G7</s:f>
        <s:v>3108.0</s:v>
      </s:c>
      <s:c r="H7" s="18">
        <s:f>'Company Data'!H7</s:f>
        <s:v>13107.0</s:v>
      </s:c>
      <s:c r="I7" s="18">
        <s:f>'Company Data'!I7</s:f>
        <s:v>8240.0</s:v>
      </s:c>
      <s:c r="J7" s="18">
        <s:f>'Company Data'!J7</s:f>
        <s:v>16046.0</s:v>
      </s:c>
      <s:c r="K7" s="18">
        <s:f>'Company Data'!K7</s:f>
        <s:v>1856.4</s:v>
      </s:c>
      <s:c r="L7" s="18">
        <s:f>'Company Data'!L7</s:f>
        <s:v>1559.0</s:v>
      </s:c>
      <s:c r="M7" s="18">
        <s:f>'Company Data'!M7</s:f>
        <s:v>5005.0</s:v>
      </s:c>
    </s:row>
    <s:row r="8" ht="24" customHeight="1">
      <s:c r="A8" s="2" t="inlineStr">
        <s:is>
          <s:t>Total assets ($m)</s:t>
        </s:is>
      </s:c>
      <s:c r="B8" s="18">
        <s:f>'Company Data'!B10</s:f>
        <s:v>284668.0</s:v>
      </s:c>
      <s:c r="C8" s="18">
        <s:f>'Company Data'!C10</s:f>
        <s:v>59490.0</s:v>
      </s:c>
      <s:c r="D8" s="18">
        <s:f>'Company Data'!D10</s:f>
        <s:v>77099.0</s:v>
      </s:c>
      <s:c r="E8" s="18">
        <s:f>'Company Data'!E10</s:f>
        <s:v>105095.0</s:v>
      </s:c>
      <s:c r="F8" s="18">
        <s:f>'Company Data'!F10</s:f>
        <s:v>54144.0</s:v>
      </s:c>
      <s:c r="G8" s="18">
        <s:f>'Company Data'!G10</s:f>
        <s:v>38410.0</s:v>
      </s:c>
      <s:c r="H8" s="18">
        <s:f>'Company Data'!H10</s:f>
        <s:v>104816.0</s:v>
      </s:c>
      <s:c r="I8" s="18">
        <s:f>'Company Data'!I10</s:f>
        <s:v>107399.0</s:v>
      </s:c>
      <s:c r="J8" s="18">
        <s:f>'Company Data'!J10</s:f>
        <s:v>126521.0</s:v>
      </s:c>
      <s:c r="K8" s="18">
        <s:f>'Company Data'!K10</s:f>
        <s:v>32019.7</s:v>
      </s:c>
      <s:c r="L8" s="18">
        <s:f>'Company Data'!L10</s:f>
        <s:v>8197.0</s:v>
      </s:c>
      <s:c r="M8" s="18">
        <s:f>'Company Data'!M10</s:f>
        <s:v>81317.0</s:v>
      </s:c>
    </s:row>
    <s:row r="9" ht="24" customHeight="1">
      <s:c r="A9" s="2" t="inlineStr">
        <s:is>
          <s:t>Stockholders’ equity ($m)</s:t>
        </s:is>
      </s:c>
      <s:c r="B9" s="18">
        <s:f>'Company Data'!B15</s:f>
        <s:v>99617.0</s:v>
      </s:c>
      <s:c r="C9" s="18">
        <s:f>'Company Data'!C15</s:f>
        <s:v>16165.0</s:v>
      </s:c>
      <s:c r="D9" s="18">
        <s:f>'Company Data'!D15</s:f>
        <s:v>29164.0</s:v>
      </s:c>
      <s:c r="E9" s="18">
        <s:f>'Company Data'!E15</s:f>
        <s:v>12813.0</s:v>
      </s:c>
      <s:c r="F9" s="18">
        <s:f>'Company Data'!F15</s:f>
        <s:v>-9917.0</s:v>
      </s:c>
      <s:c r="G9" s="18">
        <s:f>'Company Data'!G15</s:f>
        <s:v>14865.0</s:v>
      </s:c>
      <s:c r="H9" s="18">
        <s:f>'Company Data'!H15</s:f>
        <s:v>32169.0</s:v>
      </s:c>
      <s:c r="I9" s="18">
        <s:f>'Company Data'!I15</s:f>
        <s:v>20406.0</s:v>
      </s:c>
      <s:c r="J9" s="18">
        <s:f>'Company Data'!J15</s:f>
        <s:v>54081.0</s:v>
      </s:c>
      <s:c r="K9" s="18">
        <s:f>'Company Data'!K15</s:f>
        <s:v>-8096.6</s:v>
      </s:c>
      <s:c r="L9" s="18">
        <s:f>'Company Data'!L15</s:f>
        <s:v>-7325.0</s:v>
      </s:c>
      <s:c r="M9" s="18">
        <s:f>'Company Data'!M15</s:f>
        <s:v>20853.0</s:v>
      </s:c>
    </s:row>
    <s:row r="10" ht="8" customHeight="1">
      <s:c r="A10" s="2" t="n"/>
      <s:c r="B10" s="3" t="n"/>
      <s:c r="C10" s="3" t="n"/>
      <s:c r="D10" s="3" t="n"/>
      <s:c r="E10" s="3" t="n"/>
      <s:c r="F10" s="3" t="n"/>
      <s:c r="G10" s="3" t="n"/>
      <s:c r="H10" s="3" t="n"/>
      <s:c r="I10" s="3" t="n"/>
      <s:c r="J10" s="3" t="n"/>
      <s:c r="K10" s="3" t="n"/>
      <s:c r="L10" s="3" t="n"/>
      <s:c r="M10" s="3" t="n"/>
    </s:row>
    <s:row r="11" ht="24" customHeight="1">
      <s:c r="A11" s="2" t="inlineStr">
        <s:is>
          <s:t>Net profit margin</s:t>
        </s:is>
      </s:c>
      <s:c r="B11" s="21">
        <s:f>IF(B6=0,"n/m",B7/B6)</s:f>
        <s:v>0.03069845182658102</s:v>
      </s:c>
      <s:c r="C11" s="21">
        <s:f>IF(C6=0,"n/m",C7/C6)</s:f>
        <s:v>0.03535980148883375</s:v>
      </s:c>
      <s:c r="D11" s="21">
        <s:f>IF(D6=0,"n/m",D7/D6)</s:f>
        <s:v>0.029425763438516175</s:v>
      </s:c>
      <s:c r="E11" s="21">
        <s:f>IF(E6=0,"n/m",E7/E6)</s:f>
        <s:v>0.08595908503002739</s:v>
      </s:c>
      <s:c r="F11" s="21">
        <s:f>IF(F6=0,"n/m",F7/F6)</s:f>
        <s:v>0.0771156386899381</s:v>
      </s:c>
      <s:c r="G11" s="21">
        <s:f>IF(G6=0,"n/m",G7/G6)</s:f>
        <s:v>0.06698564593301436</s:v>
      </s:c>
      <s:c r="H11" s="21">
        <s:f>IF(H6=0,"n/m",H7/H6)</s:f>
        <s:v>0.2733985523873094</s:v>
      </s:c>
      <s:c r="I11" s="21">
        <s:f>IF(I6=0,"n/m",I7/I6)</s:f>
        <s:v>0.08772957146659568</s:v>
      </s:c>
      <s:c r="J11" s="21">
        <s:f>IF(J6=0,"n/m",J7/J6)</s:f>
        <s:v>0.18436896773600514</s:v>
      </s:c>
      <s:c r="K11" s="21">
        <s:f>IF(K6=0,"n/m",K7/K6)</s:f>
        <s:v>0.049924161745248004</s:v>
      </s:c>
      <s:c r="L11" s="21">
        <s:f>IF(L6=0,"n/m",L7/L6)</s:f>
        <s:v>0.18979790601412222</s:v>
      </s:c>
      <s:c r="M11" s="21">
        <s:f>IF(M6=0,"n/m",M7/M6)</s:f>
        <s:v>0.07898806893504198</s:v>
      </s:c>
    </s:row>
    <s:row r="12" ht="24" customHeight="1">
      <s:c r="A12" s="2" t="inlineStr">
        <s:is>
          <s:t>Asset turnover</s:t>
        </s:is>
      </s:c>
      <s:c r="B12" s="25">
        <s:f>IF(B8=0,"n/m",B6/B8)</s:f>
        <s:v>2.5052447061137886</s:v>
      </s:c>
      <s:c r="C12" s="25">
        <s:f>IF(C8=0,"n/m",C6/C8)</s:f>
        <s:v>1.7613044209110775</s:v>
      </s:c>
      <s:c r="D12" s="25">
        <s:f>IF(D8=0,"n/m",D6/D8)</s:f>
        <s:v>3.569890660060442</s:v>
      </s:c>
      <s:c r="E12" s="25">
        <s:f>IF(E8=0,"n/m",E6/E8)</s:f>
        <s:v>1.5669917693515392</s:v>
      </s:c>
      <s:c r="F12" s="25">
        <s:f>IF(F8=0,"n/m",F6/F8)</s:f>
        <s:v>1.5936391843971631</s:v>
      </s:c>
      <s:c r="G12" s="25">
        <s:f>IF(G8=0,"n/m",G6/G8)</s:f>
        <s:v>1.2079666753449623</s:v>
      </s:c>
      <s:c r="H12" s="25">
        <s:f>IF(H8=0,"n/m",H6/H8)</s:f>
        <s:v>0.45738246069302396</s:v>
      </s:c>
      <s:c r="I12" s="25">
        <s:f>IF(I8=0,"n/m",I6/I8)</s:f>
        <s:v>0.8745425935064572</s:v>
      </s:c>
      <s:c r="J12" s="25">
        <s:f>IF(J8=0,"n/m",J6/J8)</s:f>
        <s:v>0.6878858055184515</s:v>
      </s:c>
      <s:c r="K12" s="25">
        <s:f>IF(K8=0,"n/m",K6/K8)</s:f>
        <s:v>1.1612975761796644</s:v>
      </s:c>
      <s:c r="L12" s="25">
        <s:f>IF(L8=0,"n/m",L6/L8)</s:f>
        <s:v>1.0020739294863974</s:v>
      </s:c>
      <s:c r="M12" s="25">
        <s:f>IF(M8=0,"n/m",M6/M8)</s:f>
        <s:v>0.7792220568884735</s:v>
      </s:c>
    </s:row>
    <s:row r="13" ht="24" customHeight="1">
      <s:c r="A13" s="2" t="inlineStr">
        <s:is>
          <s:t>Equity multiplier</s:t>
        </s:is>
      </s:c>
      <s:c r="B13" s="25">
        <s:f>IF(B9=0,"n/m",B8/B9)</s:f>
        <s:v>2.857624702611</s:v>
      </s:c>
      <s:c r="C13" s="25">
        <s:f>IF(C9=0,"n/m",C8/C9)</s:f>
        <s:v>3.6801732137333745</s:v>
      </s:c>
      <s:c r="D13" s="25">
        <s:f>IF(D9=0,"n/m",D8/D9)</s:f>
        <s:v>2.6436359895761896</s:v>
      </s:c>
      <s:c r="E13" s="25">
        <s:f>IF(E9=0,"n/m",E8/E9)</s:f>
        <s:v>8.202216498868337</s:v>
      </s:c>
      <s:c r="F13" s="25">
        <s:f>IF(F9=0,"n/m",F8/F9)</s:f>
        <s:v>-5.459715639810427</s:v>
      </s:c>
      <s:c r="G13" s="25">
        <s:f>IF(G9=0,"n/m",G8/G9)</s:f>
        <s:v>2.5839219643457785</s:v>
      </s:c>
      <s:c r="H13" s="25">
        <s:f>IF(H9=0,"n/m",H8/H9)</s:f>
        <s:v>3.258292144611272</s:v>
      </s:c>
      <s:c r="I13" s="25">
        <s:f>IF(I9=0,"n/m",I8/I9)</s:f>
        <s:v>5.263108889542291</s:v>
      </s:c>
      <s:c r="J13" s="25">
        <s:f>IF(J9=0,"n/m",J8/J9)</s:f>
        <s:v>2.3394722730718738</s:v>
      </s:c>
      <s:c r="K13" s="25">
        <s:f>IF(K9=0,"n/m",K8/K9)</s:f>
        <s:v>-3.9547093841859544</s:v>
      </s:c>
      <s:c r="L13" s="25">
        <s:f>IF(L9=0,"n/m",L8/L9)</s:f>
        <s:v>-1.1190443686006826</s:v>
      </s:c>
      <s:c r="M13" s="25">
        <s:f>IF(M9=0,"n/m",M8/M9)</s:f>
        <s:v>3.8995348391118783</s:v>
      </s:c>
    </s:row>
    <s:row r="14" ht="24" customHeight="1">
      <s:c r="A14" s="23" t="inlineStr">
        <s:is>
          <s:t>ROE</s:t>
        </s:is>
      </s:c>
      <s:c r="B14" s="24">
        <s:f>IF(OR(B6=0,B8=0,B9=0),"n/m",B11*B12*B13)</s:f>
        <s:v>0.21977172570946726</s:v>
      </s:c>
      <s:c r="C14" s="24">
        <s:f>IF(OR(C6=0,C8=0,C9=0),"n/m",C11*C12*C13)</s:f>
        <s:v>0.2291988864831426</s:v>
      </s:c>
      <s:c r="D14" s="24">
        <s:f>IF(OR(D6=0,D8=0,D9=0),"n/m",D11*D12*D13)</s:f>
        <s:v>0.27770539020710466</s:v>
      </s:c>
      <s:c r="E14" s="24">
        <s:f>IF(OR(E6=0,E8=0,E9=0),"n/m",E11*E12*E13)</s:f>
        <s:v>1.1048154218371966</s:v>
      </s:c>
      <s:c r="F14" s="24">
        <s:f>IF(OR(F6=0,F8=0,F9=0),"n/m",F11*F12*F13)</s:f>
        <s:v>-0.6709690430573763</s:v>
      </s:c>
      <s:c r="G14" s="24">
        <s:f>IF(OR(G6=0,G8=0,G9=0),"n/m",G11*G12*G13)</s:f>
        <s:v>0.20908173562058527</s:v>
      </s:c>
      <s:c r="H14" s="24">
        <s:f>IF(OR(H6=0,H8=0,H9=0),"n/m",H11*H12*H13)</s:f>
        <s:v>0.4074419472162641</s:v>
      </s:c>
      <s:c r="I14" s="24">
        <s:f>IF(OR(I6=0,I8=0,I9=0),"n/m",I11*I12*I13)</s:f>
        <s:v>0.4038028030971283</s:v>
      </s:c>
      <s:c r="J14" s="24">
        <s:f>IF(OR(J6=0,J8=0,J9=0),"n/m",J11*J12*J13)</s:f>
        <s:v>0.2967030935078863</s:v>
      </s:c>
      <s:c r="K14" s="24">
        <s:f>IF(OR(K6=0,K8=0,K9=0),"n/m",K11*K12*K13)</s:f>
        <s:v>-0.22928142677173136</s:v>
      </s:c>
      <s:c r="L14" s="24">
        <s:f>IF(OR(L6=0,L8=0,L9=0),"n/m",L11*L12*L13)</s:f>
        <s:v>-0.21283276450511945</s:v>
      </s:c>
      <s:c r="M14" s="24">
        <s:f>IF(OR(M6=0,M8=0,M9=0),"n/m",M11*M12*M13)</s:f>
        <s:v>0.24001342732460557</s:v>
      </s:c>
    </s:row>
    <s:row r="15" ht="8" customHeight="1">
      <s:c r="A15" s="2" t="n"/>
      <s:c r="B15" s="3" t="n"/>
      <s:c r="C15" s="3" t="n"/>
      <s:c r="D15" s="3" t="n"/>
      <s:c r="E15" s="3" t="n"/>
      <s:c r="F15" s="3" t="n"/>
      <s:c r="G15" s="3" t="n"/>
      <s:c r="H15" s="3" t="n"/>
      <s:c r="I15" s="3" t="n"/>
      <s:c r="J15" s="3" t="n"/>
      <s:c r="K15" s="3" t="n"/>
      <s:c r="L15" s="3" t="n"/>
      <s:c r="M15" s="3" t="n"/>
    </s:row>
    <s:row r="16" ht="8" customHeight="1">
      <s:c r="A16" s="2" t="n"/>
      <s:c r="B16" s="3" t="n"/>
      <s:c r="C16" s="3" t="n"/>
      <s:c r="D16" s="3" t="n"/>
      <s:c r="E16" s="3" t="n"/>
      <s:c r="F16" s="3" t="n"/>
      <s:c r="G16" s="3" t="n"/>
      <s:c r="H16" s="3" t="n"/>
      <s:c r="I16" s="3" t="n"/>
      <s:c r="J16" s="3" t="n"/>
      <s:c r="K16" s="3" t="n"/>
      <s:c r="L16" s="3" t="n"/>
      <s:c r="M16" s="3" t="n"/>
    </s:row>
    <s:row r="17" ht="24" customHeight="1">
      <s:c r="A17" s="7" t="inlineStr">
        <s:is>
          <s:t>Prior annual period</s:t>
        </s:is>
      </s:c>
      <s:c r="B17" s="17" t="n">
        <s:v>45688</s:v>
      </s:c>
      <s:c r="C17" s="17" t="n">
        <s:v>45688</s:v>
      </s:c>
      <s:c r="D17" s="17" t="n">
        <s:v>45535</s:v>
      </s:c>
      <s:c r="E17" s="17" t="n">
        <s:v>45688</s:v>
      </s:c>
      <s:c r="F17" s="17" t="n">
        <s:v>45688</s:v>
      </s:c>
      <s:c r="G17" s="17" t="n">
        <s:v>45808</s:v>
      </s:c>
      <s:c r="H17" s="17" t="n">
        <s:v>45657</s:v>
      </s:c>
      <s:c r="I17" s="17" t="n">
        <s:v>45657</s:v>
      </s:c>
      <s:c r="J17" s="17" t="n">
        <s:v>45838</s:v>
      </s:c>
      <s:c r="K17" s="17" t="n">
        <s:v>45565</s:v>
      </s:c>
      <s:c r="L17" s="17" t="n">
        <s:v>45657</s:v>
      </s:c>
      <s:c r="M17" s="17" t="n">
        <s:v>45657</s:v>
      </s:c>
    </s:row>
    <s:row r="18" ht="24" customHeight="1">
      <s:c r="A18" s="2" t="inlineStr">
        <s:is>
          <s:t>Revenue ($m)</s:t>
        </s:is>
      </s:c>
      <s:c r="B18" s="18">
        <s:f>'Company Data'!B21</s:f>
        <s:v>680985.0</s:v>
      </s:c>
      <s:c r="C18" s="18">
        <s:f>'Company Data'!C21</s:f>
        <s:v>106566.0</s:v>
      </s:c>
      <s:c r="D18" s="18">
        <s:f>'Company Data'!D21</s:f>
        <s:v>254453.0</s:v>
      </s:c>
      <s:c r="E18" s="18">
        <s:f>'Company Data'!E21</s:f>
        <s:v>159514.0</s:v>
      </s:c>
      <s:c r="F18" s="18">
        <s:f>'Company Data'!F21</s:f>
        <s:v>83674.0</s:v>
      </s:c>
      <s:c r="G18" s="18">
        <s:f>'Company Data'!G21</s:f>
        <s:v>46309.0</s:v>
      </s:c>
      <s:c r="H18" s="18">
        <s:f>'Company Data'!H21</s:f>
        <s:v>47061.0</s:v>
      </s:c>
      <s:c r="I18" s="18">
        <s:f>'Company Data'!I21</s:f>
        <s:v>91854.0</s:v>
      </s:c>
      <s:c r="J18" s="18">
        <s:f>'Company Data'!J21</s:f>
        <s:v>84284.0</s:v>
      </s:c>
      <s:c r="K18" s="18">
        <s:f>'Company Data'!K21</s:f>
        <s:v>36176.2</s:v>
      </s:c>
      <s:c r="L18" s="18">
        <s:f>'Company Data'!L21</s:f>
        <s:v>7549.0</s:v>
      </s:c>
      <s:c r="M18" s="18">
        <s:f>'Company Data'!M21</s:f>
        <s:v>61643.0</s:v>
      </s:c>
    </s:row>
    <s:row r="19" ht="24" customHeight="1">
      <s:c r="A19" s="2" t="inlineStr">
        <s:is>
          <s:t>Net income ($m)</s:t>
        </s:is>
      </s:c>
      <s:c r="B19" s="18">
        <s:f>'Company Data'!B22</s:f>
        <s:v>19436.0</s:v>
      </s:c>
      <s:c r="C19" s="18">
        <s:f>'Company Data'!C22</s:f>
        <s:v>4091.0</s:v>
      </s:c>
      <s:c r="D19" s="18">
        <s:f>'Company Data'!D22</s:f>
        <s:v>7367.0</s:v>
      </s:c>
      <s:c r="E19" s="18">
        <s:f>'Company Data'!E22</s:f>
        <s:v>14806.0</s:v>
      </s:c>
      <s:c r="F19" s="18">
        <s:f>'Company Data'!F22</s:f>
        <s:v>6957.0</s:v>
      </s:c>
      <s:c r="G19" s="18">
        <s:f>'Company Data'!G22</s:f>
        <s:v>3219.0</s:v>
      </s:c>
      <s:c r="H19" s="18">
        <s:f>'Company Data'!H22</s:f>
        <s:v>10631.0</s:v>
      </s:c>
      <s:c r="I19" s="18">
        <s:f>'Company Data'!I22</s:f>
        <s:v>9578.0</s:v>
      </s:c>
      <s:c r="J19" s="18">
        <s:f>'Company Data'!J22</s:f>
        <s:v>15974.0</s:v>
      </s:c>
      <s:c r="K19" s="18">
        <s:f>'Company Data'!K22</s:f>
        <s:v>3760.9</s:v>
      </s:c>
      <s:c r="L19" s="18">
        <s:f>'Company Data'!L22</s:f>
        <s:v>1486.0</s:v>
      </s:c>
      <s:c r="M19" s="18">
        <s:f>'Company Data'!M22</s:f>
        <s:v>3457.0</s:v>
      </s:c>
    </s:row>
    <s:row r="20" ht="24" customHeight="1">
      <s:c r="A20" s="2" t="inlineStr">
        <s:is>
          <s:t>Total assets ($m)</s:t>
        </s:is>
      </s:c>
      <s:c r="B20" s="18">
        <s:f>'Company Data'!B25</s:f>
        <s:v>260823.0</s:v>
      </s:c>
      <s:c r="C20" s="18">
        <s:f>'Company Data'!C25</s:f>
        <s:v>57769.0</s:v>
      </s:c>
      <s:c r="D20" s="18">
        <s:f>'Company Data'!D25</s:f>
        <s:v>69831.0</s:v>
      </s:c>
      <s:c r="E20" s="18">
        <s:f>'Company Data'!E25</s:f>
        <s:v>96119.0</s:v>
      </s:c>
      <s:c r="F20" s="18">
        <s:f>'Company Data'!F25</s:f>
        <s:v>43102.0</s:v>
      </s:c>
      <s:c r="G20" s="18">
        <s:f>'Company Data'!G25</s:f>
        <s:v>36579.0</s:v>
      </s:c>
      <s:c r="H20" s="18">
        <s:f>'Company Data'!H25</s:f>
        <s:v>100549.0</s:v>
      </s:c>
      <s:c r="I20" s="18">
        <s:f>'Company Data'!I25</s:f>
        <s:v>99467.0</s:v>
      </s:c>
      <s:c r="J20" s="18">
        <s:f>'Company Data'!J25</s:f>
        <s:v>125231.0</s:v>
      </s:c>
      <s:c r="K20" s="18">
        <s:f>'Company Data'!K25</s:f>
        <s:v>31339.3</s:v>
      </s:c>
      <s:c r="L20" s="18">
        <s:f>'Company Data'!L25</s:f>
        <s:v>6727.0</s:v>
      </s:c>
      <s:c r="M20" s="18">
        <s:f>'Company Data'!M25</s:f>
        <s:v>75372.0</s:v>
      </s:c>
    </s:row>
    <s:row r="21" ht="24" customHeight="1">
      <s:c r="A21" s="2" t="inlineStr">
        <s:is>
          <s:t>Stockholders’ equity ($m)</s:t>
        </s:is>
      </s:c>
      <s:c r="B21" s="18">
        <s:f>'Company Data'!B30</s:f>
        <s:v>91013.0</s:v>
      </s:c>
      <s:c r="C21" s="18">
        <s:f>'Company Data'!C30</s:f>
        <s:v>14666.0</s:v>
      </s:c>
      <s:c r="D21" s="18">
        <s:f>'Company Data'!D30</s:f>
        <s:v>23622.0</s:v>
      </s:c>
      <s:c r="E21" s="18">
        <s:f>'Company Data'!E30</s:f>
        <s:v>6640.0</s:v>
      </s:c>
      <s:c r="F21" s="18">
        <s:f>'Company Data'!F30</s:f>
        <s:v>-14231.0</s:v>
      </s:c>
      <s:c r="G21" s="18">
        <s:f>'Company Data'!G30</s:f>
        <s:v>13213.0</s:v>
      </s:c>
      <s:c r="H21" s="18">
        <s:f>'Company Data'!H30</s:f>
        <s:v>24856.0</s:v>
      </s:c>
      <s:c r="I21" s="18">
        <s:f>'Company Data'!I30</s:f>
        <s:v>18041.0</s:v>
      </s:c>
      <s:c r="J21" s="18">
        <s:f>'Company Data'!J30</s:f>
        <s:v>52012.0</s:v>
      </s:c>
      <s:c r="K21" s="18">
        <s:f>'Company Data'!K30</s:f>
        <s:v>-7448.9</s:v>
      </s:c>
      <s:c r="L21" s="18">
        <s:f>'Company Data'!L30</s:f>
        <s:v>-7648.0</s:v>
      </s:c>
      <s:c r="M21" s="18">
        <s:f>'Company Data'!M30</s:f>
        <s:v>15293.0</s:v>
      </s:c>
    </s:row>
    <s:row r="22" ht="8" customHeight="1">
      <s:c r="A22" s="2" t="n"/>
      <s:c r="B22" s="3" t="n"/>
      <s:c r="C22" s="3" t="n"/>
      <s:c r="D22" s="3" t="n"/>
      <s:c r="E22" s="3" t="n"/>
      <s:c r="F22" s="3" t="n"/>
      <s:c r="G22" s="3" t="n"/>
      <s:c r="H22" s="3" t="n"/>
      <s:c r="I22" s="3" t="n"/>
      <s:c r="J22" s="3" t="n"/>
      <s:c r="K22" s="3" t="n"/>
      <s:c r="L22" s="3" t="n"/>
      <s:c r="M22" s="3" t="n"/>
    </s:row>
    <s:row r="23" ht="24" customHeight="1">
      <s:c r="A23" s="2" t="inlineStr">
        <s:is>
          <s:t>Net profit margin</s:t>
        </s:is>
      </s:c>
      <s:c r="B23" s="21">
        <s:f>IF(B18=0,"n/m",B19/B18)</s:f>
        <s:v>0.028541010448100913</s:v>
      </s:c>
      <s:c r="C23" s="21">
        <s:f>IF(C18=0,"n/m",C19/C18)</s:f>
        <s:v>0.03838935495373759</s:v>
      </s:c>
      <s:c r="D23" s="21">
        <s:f>IF(D18=0,"n/m",D19/D18)</s:f>
        <s:v>0.028952301603832536</s:v>
      </s:c>
      <s:c r="E23" s="21">
        <s:f>IF(E18=0,"n/m",E19/E18)</s:f>
        <s:v>0.09281943904610254</s:v>
      </s:c>
      <s:c r="F23" s="21">
        <s:f>IF(F18=0,"n/m",F19/F18)</s:f>
        <s:v>0.08314410689102947</s:v>
      </s:c>
      <s:c r="G23" s="21">
        <s:f>IF(G18=0,"n/m",G19/G18)</s:f>
        <s:v>0.06951132609212032</s:v>
      </s:c>
      <s:c r="H23" s="21">
        <s:f>IF(H18=0,"n/m",H19/H18)</s:f>
        <s:v>0.22589830220352308</s:v>
      </s:c>
      <s:c r="I23" s="21">
        <s:f>IF(I18=0,"n/m",I19/I18)</s:f>
        <s:v>0.10427417423302197</s:v>
      </s:c>
      <s:c r="J23" s="21">
        <s:f>IF(J18=0,"n/m",J19/J18)</s:f>
        <s:v>0.1895258886621423</s:v>
      </s:c>
      <s:c r="K23" s="21">
        <s:f>IF(K18=0,"n/m",K19/K18)</s:f>
        <s:v>0.10396061498996578</s:v>
      </s:c>
      <s:c r="L23" s="21">
        <s:f>IF(L18=0,"n/m",L19/L18)</s:f>
        <s:v>0.19684726453834944</s:v>
      </s:c>
      <s:c r="M23" s="21">
        <s:f>IF(M18=0,"n/m",M19/M18)</s:f>
        <s:v>0.056080982431095175</s:v>
      </s:c>
    </s:row>
    <s:row r="24" ht="24" customHeight="1">
      <s:c r="A24" s="2" t="inlineStr">
        <s:is>
          <s:t>Asset turnover</s:t>
        </s:is>
      </s:c>
      <s:c r="B24" s="25">
        <s:f>IF(B20=0,"n/m",B18/B20)</s:f>
        <s:v>2.610908547175671</s:v>
      </s:c>
      <s:c r="C24" s="25">
        <s:f>IF(C20=0,"n/m",C18/C20)</s:f>
        <s:v>1.8446917897142066</s:v>
      </s:c>
      <s:c r="D24" s="25">
        <s:f>IF(D20=0,"n/m",D18/D20)</s:f>
        <s:v>3.6438401283097765</s:v>
      </s:c>
      <s:c r="E24" s="25">
        <s:f>IF(E20=0,"n/m",E18/E20)</s:f>
        <s:v>1.65954701983999</s:v>
      </s:c>
      <s:c r="F24" s="25">
        <s:f>IF(F20=0,"n/m",F18/F20)</s:f>
        <s:v>1.9413020277481323</s:v>
      </s:c>
      <s:c r="G24" s="25">
        <s:f>IF(G20=0,"n/m",G18/G20)</s:f>
        <s:v>1.2659996172667378</s:v>
      </s:c>
      <s:c r="H24" s="25">
        <s:f>IF(H20=0,"n/m",H18/H20)</s:f>
        <s:v>0.46804045788620474</s:v>
      </s:c>
      <s:c r="I24" s="25">
        <s:f>IF(I20=0,"n/m",I18/I20)</s:f>
        <s:v>0.9234620527411102</s:v>
      </s:c>
      <s:c r="J24" s="25">
        <s:f>IF(J20=0,"n/m",J18/J20)</s:f>
        <s:v>0.6730282438054476</s:v>
      </s:c>
      <s:c r="K24" s="25">
        <s:f>IF(K20=0,"n/m",K18/K20)</s:f>
        <s:v>1.154339758705523</s:v>
      </s:c>
      <s:c r="L24" s="25">
        <s:f>IF(L20=0,"n/m",L18/L20)</s:f>
        <s:v>1.1221941430057976</s:v>
      </s:c>
      <s:c r="M24" s="25">
        <s:f>IF(M20=0,"n/m",M18/M20)</s:f>
        <s:v>0.8178501300217588</s:v>
      </s:c>
    </s:row>
    <s:row r="25" ht="24" customHeight="1">
      <s:c r="A25" s="2" t="inlineStr">
        <s:is>
          <s:t>Equity multiplier</s:t>
        </s:is>
      </s:c>
      <s:c r="B25" s="25">
        <s:f>IF(B21=0,"n/m",B20/B21)</s:f>
        <s:v>2.86577741641304</s:v>
      </s:c>
      <s:c r="C25" s="25">
        <s:f>IF(C21=0,"n/m",C20/C21)</s:f>
        <s:v>3.9389744988408566</s:v>
      </s:c>
      <s:c r="D25" s="25">
        <s:f>IF(D21=0,"n/m",D20/D21)</s:f>
        <s:v>2.956184912369825</s:v>
      </s:c>
      <s:c r="E25" s="25">
        <s:f>IF(E21=0,"n/m",E20/E21)</s:f>
        <s:v>14.475753012048193</s:v>
      </s:c>
      <s:c r="F25" s="25">
        <s:f>IF(F21=0,"n/m",F20/F21)</s:f>
        <s:v>-3.028740074485279</s:v>
      </s:c>
      <s:c r="G25" s="25">
        <s:f>IF(G21=0,"n/m",G20/G21)</s:f>
        <s:v>2.7684098993415573</s:v>
      </s:c>
      <s:c r="H25" s="25">
        <s:f>IF(H21=0,"n/m",H20/H21)</s:f>
        <s:v>4.045260701641455</s:v>
      </s:c>
      <s:c r="I25" s="25">
        <s:f>IF(I21=0,"n/m",I20/I21)</s:f>
        <s:v>5.513386175932598</s:v>
      </s:c>
      <s:c r="J25" s="25">
        <s:f>IF(J21=0,"n/m",J20/J21)</s:f>
        <s:v>2.4077328308851804</s:v>
      </s:c>
      <s:c r="K25" s="25">
        <s:f>IF(K21=0,"n/m",K20/K21)</s:f>
        <s:v>-4.207238652686974</s:v>
      </s:c>
      <s:c r="L25" s="25">
        <s:f>IF(L21=0,"n/m",L20/L21)</s:f>
        <s:v>-0.8795763598326359</s:v>
      </s:c>
      <s:c r="M25" s="25">
        <s:f>IF(M21=0,"n/m",M20/M21)</s:f>
        <s:v>4.928529392532531</s:v>
      </s:c>
    </s:row>
    <s:row r="26" ht="24" customHeight="1">
      <s:c r="A26" s="23" t="inlineStr">
        <s:is>
          <s:t>ROE</s:t>
        </s:is>
      </s:c>
      <s:c r="B26" s="24">
        <s:f>IF(OR(B18=0,B20=0,B21=0),"n/m",B23*B24*B25)</s:f>
        <s:v>0.2135519101666795</s:v>
      </s:c>
      <s:c r="C26" s="24">
        <s:f>IF(OR(C18=0,C20=0,C21=0),"n/m",C23*C24*C25)</s:f>
        <s:v>0.27894449747715805</s:v>
      </s:c>
      <s:c r="D26" s="24">
        <s:f>IF(OR(D18=0,D20=0,D21=0),"n/m",D23*D24*D25)</s:f>
        <s:v>0.3118702904072475</s:v>
      </s:c>
      <s:c r="E26" s="24">
        <s:f>IF(OR(E18=0,E20=0,E21=0),"n/m",E23*E24*E25)</s:f>
        <s:v>2.2298192771084335</s:v>
      </s:c>
      <s:c r="F26" s="24">
        <s:f>IF(OR(F18=0,F20=0,F21=0),"n/m",F23*F24*F25)</s:f>
        <s:v>-0.4888623427728199</s:v>
      </s:c>
      <s:c r="G26" s="24">
        <s:f>IF(OR(G18=0,G20=0,G21=0),"n/m",G23*G24*G25)</s:f>
        <s:v>0.24362370392794974</s:v>
      </s:c>
      <s:c r="H26" s="24">
        <s:f>IF(OR(H18=0,H20=0,H21=0),"n/m",H23*H24*H25)</s:f>
        <s:v>0.4277035725780496</s:v>
      </s:c>
      <s:c r="I26" s="24">
        <s:f>IF(OR(I18=0,I20=0,I21=0),"n/m",I23*I24*I25)</s:f>
        <s:v>0.5309018347098277</s:v>
      </s:c>
      <s:c r="J26" s="24">
        <s:f>IF(OR(J18=0,J20=0,J21=0),"n/m",J23*J24*J25)</s:f>
        <s:v>0.3071214335153426</s:v>
      </s:c>
      <s:c r="K26" s="24">
        <s:f>IF(OR(K18=0,K20=0,K21=0),"n/m",K23*K24*K25)</s:f>
        <s:v>-0.5048933399562352</s:v>
      </s:c>
      <s:c r="L26" s="24">
        <s:f>IF(OR(L18=0,L20=0,L21=0),"n/m",L23*L24*L25)</s:f>
        <s:v>-0.19429916317991633</s:v>
      </s:c>
      <s:c r="M26" s="24">
        <s:f>IF(OR(M18=0,M20=0,M21=0),"n/m",M23*M24*M25)</s:f>
        <s:v>0.22605113450598313</s:v>
      </s:c>
    </s:row>
    <s:row r="27" ht="8" customHeight="1">
      <s:c r="A27" s="2" t="n"/>
      <s:c r="B27" s="3" t="n"/>
      <s:c r="C27" s="3" t="n"/>
      <s:c r="D27" s="3" t="n"/>
      <s:c r="E27" s="3" t="n"/>
      <s:c r="F27" s="3" t="n"/>
      <s:c r="G27" s="3" t="n"/>
      <s:c r="H27" s="3" t="n"/>
      <s:c r="I27" s="3" t="n"/>
      <s:c r="J27" s="3" t="n"/>
      <s:c r="K27" s="3" t="n"/>
      <s:c r="L27" s="3" t="n"/>
      <s:c r="M27" s="3" t="n"/>
    </s:row>
    <s:row r="28" ht="8" customHeight="1">
      <s:c r="A28" s="2" t="n"/>
      <s:c r="B28" s="3" t="n"/>
      <s:c r="C28" s="3" t="n"/>
      <s:c r="D28" s="3" t="n"/>
      <s:c r="E28" s="3" t="n"/>
      <s:c r="F28" s="3" t="n"/>
      <s:c r="G28" s="3" t="n"/>
      <s:c r="H28" s="3" t="n"/>
      <s:c r="I28" s="3" t="n"/>
      <s:c r="J28" s="3" t="n"/>
      <s:c r="K28" s="3" t="n"/>
      <s:c r="L28" s="3" t="n"/>
      <s:c r="M28" s="3" t="n"/>
    </s:row>
    <s:row r="29" ht="24" customHeight="1">
      <s:c r="A29" s="7" t="inlineStr">
        <s:is>
          <s:t>Two years prior</s:t>
        </s:is>
      </s:c>
      <s:c r="B29" s="17" t="n">
        <s:v>45322</s:v>
      </s:c>
      <s:c r="C29" s="17" t="n">
        <s:v>45322</s:v>
      </s:c>
      <s:c r="D29" s="17" t="n">
        <s:v>45169</s:v>
      </s:c>
      <s:c r="E29" s="17" t="n">
        <s:v>45322</s:v>
      </s:c>
      <s:c r="F29" s="17" t="n">
        <s:v>45322</s:v>
      </s:c>
      <s:c r="G29" s="17" t="n">
        <s:v>45443</s:v>
      </s:c>
      <s:c r="H29" s="17" t="n">
        <s:v>45291</s:v>
      </s:c>
      <s:c r="I29" s="17" t="n">
        <s:v>45291</s:v>
      </s:c>
      <s:c r="J29" s="17" t="n">
        <s:v>45473</s:v>
      </s:c>
      <s:c r="K29" s="17" t="n">
        <s:v>45199</s:v>
      </s:c>
      <s:c r="L29" s="17" t="n">
        <s:v>45291</s:v>
      </s:c>
      <s:c r="M29" s="17" t="n">
        <s:v>45291</s:v>
      </s:c>
    </s:row>
    <s:row r="30" ht="24" customHeight="1">
      <s:c r="A30" s="2" t="inlineStr">
        <s:is>
          <s:t>Revenue ($m)</s:t>
        </s:is>
      </s:c>
      <s:c r="B30" s="18" t="n">
        <s:v>648125</s:v>
      </s:c>
      <s:c r="C30" s="18" t="n">
        <s:v>107412</s:v>
      </s:c>
      <s:c r="D30" s="18" t="n">
        <s:v>242290</s:v>
      </s:c>
      <s:c r="E30" s="18" t="n">
        <s:v>152669</s:v>
      </s:c>
      <s:c r="F30" s="18" t="n">
        <s:v>86377</s:v>
      </s:c>
      <s:c r="G30" s="18" t="n">
        <s:v>51362</s:v>
      </s:c>
      <s:c r="H30" s="18" t="n">
        <s:v>45754</s:v>
      </s:c>
      <s:c r="I30" s="18" t="n">
        <s:v>91471</s:v>
      </s:c>
      <s:c r="J30" s="18" t="n">
        <s:v>84039</s:v>
      </s:c>
      <s:c r="K30" s="18" t="n">
        <s:v>35975.6</s:v>
      </s:c>
      <s:c r="L30" s="18" t="n">
        <s:v>7076</s:v>
      </s:c>
      <s:c r="M30" s="18" t="n">
        <s:v>58048</s:v>
      </s:c>
    </s:row>
    <s:row r="31" ht="24" customHeight="1">
      <s:c r="A31" s="2" t="inlineStr">
        <s:is>
          <s:t>Net income ($m)</s:t>
        </s:is>
      </s:c>
      <s:c r="B31" s="18" t="n">
        <s:v>15511</s:v>
      </s:c>
      <s:c r="C31" s="18" t="n">
        <s:v>4138</s:v>
      </s:c>
      <s:c r="D31" s="18" t="n">
        <s:v>6292</s:v>
      </s:c>
      <s:c r="E31" s="18" t="n">
        <s:v>15143</s:v>
      </s:c>
      <s:c r="F31" s="18" t="n">
        <s:v>7726</s:v>
      </s:c>
      <s:c r="G31" s="18" t="n">
        <s:v>5700</s:v>
      </s:c>
      <s:c r="H31" s="18" t="n">
        <s:v>10714</s:v>
      </s:c>
      <s:c r="I31" s="18" t="n">
        <s:v>9074</s:v>
      </s:c>
      <s:c r="J31" s="18" t="n">
        <s:v>14879</s:v>
      </s:c>
      <s:c r="K31" s="18" t="n">
        <s:v>4124.5</s:v>
      </s:c>
      <s:c r="L31" s="18" t="n">
        <s:v>1597</s:v>
      </s:c>
      <s:c r="M31" s="18" t="n">
        <s:v>4609</s:v>
      </s:c>
    </s:row>
    <s:row r="32" ht="24" customHeight="1">
      <s:c r="A32" s="2" t="inlineStr">
        <s:is>
          <s:t>Total assets ($m)</s:t>
        </s:is>
      </s:c>
      <s:c r="B32" s="18" t="n">
        <s:v>252399</s:v>
      </s:c>
      <s:c r="C32" s="18" t="n">
        <s:v>55356</s:v>
      </s:c>
      <s:c r="D32" s="18" t="n">
        <s:v>68994</s:v>
      </s:c>
      <s:c r="E32" s="18" t="n">
        <s:v>76530</s:v>
      </s:c>
      <s:c r="F32" s="18" t="n">
        <s:v>41795</s:v>
      </s:c>
      <s:c r="G32" s="18" t="n">
        <s:v>38110</s:v>
      </s:c>
      <s:c r="H32" s="18" t="n">
        <s:v>97703</s:v>
      </s:c>
      <s:c r="I32" s="18" t="n">
        <s:v>100495</s:v>
      </s:c>
      <s:c r="J32" s="18" t="n">
        <s:v>122370</s:v>
      </s:c>
      <s:c r="K32" s="18" t="n">
        <s:v>29445.5</s:v>
      </s:c>
      <s:c r="L32" s="18" t="n">
        <s:v>6231</s:v>
      </s:c>
      <s:c r="M32" s="18" t="n">
        <s:v>73644</s:v>
      </s:c>
    </s:row>
    <s:row r="33" ht="24" customHeight="1">
      <s:c r="A33" s="2" t="inlineStr">
        <s:is>
          <s:t>Stockholders’ equity ($m)</s:t>
        </s:is>
      </s:c>
      <s:c r="B33" s="18" t="n">
        <s:v>83861</s:v>
      </s:c>
      <s:c r="C33" s="18" t="n">
        <s:v>13432</s:v>
      </s:c>
      <s:c r="D33" s="18" t="n">
        <s:v>25058</s:v>
      </s:c>
      <s:c r="E33" s="18" t="n">
        <s:v>1044</s:v>
      </s:c>
      <s:c r="F33" s="18" t="n">
        <s:v>-15050</s:v>
      </s:c>
      <s:c r="G33" s="18" t="n">
        <s:v>14430</s:v>
      </s:c>
      <s:c r="H33" s="18" t="n">
        <s:v>25941</s:v>
      </s:c>
      <s:c r="I33" s="18" t="n">
        <s:v>18503</s:v>
      </s:c>
      <s:c r="J33" s="18" t="n">
        <s:v>50286</s:v>
      </s:c>
      <s:c r="K33" s="18" t="n">
        <s:v>-7994.8</s:v>
      </s:c>
      <s:c r="L33" s="18" t="n">
        <s:v>-7858</s:v>
      </s:c>
      <s:c r="M33" s="18" t="n">
        <s:v>11105</s:v>
      </s:c>
    </s:row>
    <s:row r="34" ht="8" customHeight="1">
      <s:c r="A34" s="2" t="n"/>
      <s:c r="B34" s="3" t="n"/>
      <s:c r="C34" s="3" t="n"/>
      <s:c r="D34" s="3" t="n"/>
      <s:c r="E34" s="3" t="n"/>
      <s:c r="F34" s="3" t="n"/>
      <s:c r="G34" s="3" t="n"/>
      <s:c r="H34" s="3" t="n"/>
      <s:c r="I34" s="3" t="n"/>
      <s:c r="J34" s="3" t="n"/>
      <s:c r="K34" s="3" t="n"/>
      <s:c r="L34" s="3" t="n"/>
      <s:c r="M34" s="3" t="n"/>
    </s:row>
    <s:row r="35" ht="24" customHeight="1">
      <s:c r="A35" s="2" t="inlineStr">
        <s:is>
          <s:t>Net profit margin</s:t>
        </s:is>
      </s:c>
      <s:c r="B35" s="21">
        <s:f>IF(B30=0,"n/m",B31/B30)</s:f>
        <s:v>0.023932111861137896</s:v>
      </s:c>
      <s:c r="C35" s="21">
        <s:f>IF(C30=0,"n/m",C31/C30)</s:f>
        <s:v>0.03852455963951886</s:v>
      </s:c>
      <s:c r="D35" s="21">
        <s:f>IF(D30=0,"n/m",D31/D30)</s:f>
        <s:v>0.025968880267448098</s:v>
      </s:c>
      <s:c r="E35" s="21">
        <s:f>IF(E30=0,"n/m",E31/E30)</s:f>
        <s:v>0.09918844035134834</s:v>
      </s:c>
      <s:c r="F35" s="21">
        <s:f>IF(F30=0,"n/m",F31/F30)</s:f>
        <s:v>0.08944510691503525</s:v>
      </s:c>
      <s:c r="G35" s="21">
        <s:f>IF(G30=0,"n/m",G31/G30)</s:f>
        <s:v>0.11097698687745804</s:v>
      </s:c>
      <s:c r="H35" s="21">
        <s:f>IF(H30=0,"n/m",H31/H30)</s:f>
        <s:v>0.23416531887922368</s:v>
      </s:c>
      <s:c r="I35" s="21">
        <s:f>IF(I30=0,"n/m",I31/I30)</s:f>
        <s:v>0.09920083961036831</s:v>
      </s:c>
      <s:c r="J35" s="21">
        <s:f>IF(J30=0,"n/m",J31/J30)</s:f>
        <s:v>0.17704875117504967</s:v>
      </s:c>
      <s:c r="K35" s="21">
        <s:f>IF(K30=0,"n/m",K31/K30)</s:f>
        <s:v>0.11464714973482026</s:v>
      </s:c>
      <s:c r="L35" s="21">
        <s:f>IF(L30=0,"n/m",L31/L30)</s:f>
        <s:v>0.22569248162803843</s:v>
      </s:c>
      <s:c r="M35" s="21">
        <s:f>IF(M30=0,"n/m",M31/M30)</s:f>
        <s:v>0.07939980705622933</s:v>
      </s:c>
    </s:row>
    <s:row r="36" ht="24" customHeight="1">
      <s:c r="A36" s="2" t="inlineStr">
        <s:is>
          <s:t>Asset turnover</s:t>
        </s:is>
      </s:c>
      <s:c r="B36" s="25">
        <s:f>IF(B32=0,"n/m",B30/B32)</s:f>
        <s:v>2.5678588266989966</s:v>
      </s:c>
      <s:c r="C36" s="25">
        <s:f>IF(C32=0,"n/m",C30/C32)</s:f>
        <s:v>1.9403858660307827</s:v>
      </s:c>
      <s:c r="D36" s="25">
        <s:f>IF(D32=0,"n/m",D30/D32)</s:f>
        <s:v>3.5117546453314783</s:v>
      </s:c>
      <s:c r="E36" s="25">
        <s:f>IF(E32=0,"n/m",E30/E32)</s:f>
        <s:v>1.994890892460473</s:v>
      </s:c>
      <s:c r="F36" s="25">
        <s:f>IF(F32=0,"n/m",F30/F32)</s:f>
        <s:v>2.066682617537983</s:v>
      </s:c>
      <s:c r="G36" s="25">
        <s:f>IF(G32=0,"n/m",G30/G32)</s:f>
        <s:v>1.347730254526371</s:v>
      </s:c>
      <s:c r="H36" s="25">
        <s:f>IF(H32=0,"n/m",H30/H32)</s:f>
        <s:v>0.4682967769669304</s:v>
      </s:c>
      <s:c r="I36" s="25">
        <s:f>IF(I32=0,"n/m",I30/I32)</s:f>
        <s:v>0.9102044877854619</s:v>
      </s:c>
      <s:c r="J36" s="25">
        <s:f>IF(J32=0,"n/m",J30/J32)</s:f>
        <s:v>0.6867614611424369</s:v>
      </s:c>
      <s:c r="K36" s="25">
        <s:f>IF(K32=0,"n/m",K30/K32)</s:f>
        <s:v>1.221769030921533</s:v>
      </s:c>
      <s:c r="L36" s="25">
        <s:f>IF(L32=0,"n/m",L30/L32)</s:f>
        <s:v>1.1356122612742738</s:v>
      </s:c>
      <s:c r="M36" s="25">
        <s:f>IF(M32=0,"n/m",M30/M32)</s:f>
        <s:v>0.7882244310466568</s:v>
      </s:c>
    </s:row>
    <s:row r="37" ht="24" customHeight="1">
      <s:c r="A37" s="2" t="inlineStr">
        <s:is>
          <s:t>Equity multiplier</s:t>
        </s:is>
      </s:c>
      <s:c r="B37" s="25">
        <s:f>IF(B33=0,"n/m",B32/B33)</s:f>
        <s:v>3.0097303871883234</s:v>
      </s:c>
      <s:c r="C37" s="25">
        <s:f>IF(C33=0,"n/m",C32/C33)</s:f>
        <s:v>4.1212030970815965</s:v>
      </s:c>
      <s:c r="D37" s="25">
        <s:f>IF(D33=0,"n/m",D32/D33)</s:f>
        <s:v>2.753372176550403</s:v>
      </s:c>
      <s:c r="E37" s="25">
        <s:f>IF(E33=0,"n/m",E32/E33)</s:f>
        <s:v>73.30459770114942</s:v>
      </s:c>
      <s:c r="F37" s="25">
        <s:f>IF(F33=0,"n/m",F32/F33)</s:f>
        <s:v>-2.7770764119601328</s:v>
      </s:c>
      <s:c r="G37" s="25">
        <s:f>IF(G33=0,"n/m",G32/G33)</s:f>
        <s:v>2.641025641025641</s:v>
      </s:c>
      <s:c r="H37" s="25">
        <s:f>IF(H33=0,"n/m",H32/H33)</s:f>
        <s:v>3.766354419644578</s:v>
      </s:c>
      <s:c r="I37" s="25">
        <s:f>IF(I33=0,"n/m",I32/I33)</s:f>
        <s:v>5.431281413824785</s:v>
      </s:c>
      <s:c r="J37" s="25">
        <s:f>IF(J33=0,"n/m",J32/J33)</s:f>
        <s:v>2.433480491588116</s:v>
      </s:c>
      <s:c r="K37" s="25">
        <s:f>IF(K33=0,"n/m",K32/K33)</s:f>
        <s:v>-3.683081502976935</s:v>
      </s:c>
      <s:c r="L37" s="25">
        <s:f>IF(L33=0,"n/m",L32/L33)</s:f>
        <s:v>-0.792949860015271</s:v>
      </s:c>
      <s:c r="M37" s="25">
        <s:f>IF(M33=0,"n/m",M32/M33)</s:f>
        <s:v>6.631607384061233</s:v>
      </s:c>
    </s:row>
    <s:row r="38" ht="24" customHeight="1">
      <s:c r="A38" s="23" t="inlineStr">
        <s:is>
          <s:t>ROE</s:t>
        </s:is>
      </s:c>
      <s:c r="B38" s="24">
        <s:f>IF(OR(B30=0,B32=0,B33=0),"n/m",B35*B36*B37)</s:f>
        <s:v>0.18496082803687053</s:v>
      </s:c>
      <s:c r="C38" s="24">
        <s:f>IF(OR(C30=0,C32=0,C33=0),"n/m",C35*C36*C37)</s:f>
        <s:v>0.30807027992852887</s:v>
      </s:c>
      <s:c r="D38" s="24">
        <s:f>IF(OR(D30=0,D32=0,D33=0),"n/m",D35*D36*D37)</s:f>
        <s:v>0.2510974539069359</s:v>
      </s:c>
      <s:c r="E38" s="24">
        <s:f>IF(OR(E30=0,E32=0,E33=0),"n/m",E35*E36*E37)</s:f>
        <s:v>14.504789272030651</s:v>
      </s:c>
      <s:c r="F38" s="24">
        <s:f>IF(OR(F30=0,F32=0,F33=0),"n/m",F35*F36*F37)</s:f>
        <s:v>-0.5133554817275747</s:v>
      </s:c>
      <s:c r="G38" s="24">
        <s:f>IF(OR(G30=0,G32=0,G33=0),"n/m",G35*G36*G37)</s:f>
        <s:v>0.39501039501039503</s:v>
      </s:c>
      <s:c r="H38" s="24">
        <s:f>IF(OR(H30=0,H32=0,H33=0),"n/m",H35*H36*H37)</s:f>
        <s:v>0.41301414748853166</s:v>
      </s:c>
      <s:c r="I38" s="24">
        <s:f>IF(OR(I30=0,I32=0,I33=0),"n/m",I35*I36*I37)</s:f>
        <s:v>0.49040696103334597</s:v>
      </s:c>
      <s:c r="J38" s="24">
        <s:f>IF(OR(J30=0,J32=0,J33=0),"n/m",J35*J36*J37)</s:f>
        <s:v>0.2958875233663445</s:v>
      </s:c>
      <s:c r="K38" s="24">
        <s:f>IF(OR(K30=0,K32=0,K33=0),"n/m",K35*K36*K37)</s:f>
        <s:v>-0.5158978335918347</s:v>
      </s:c>
      <s:c r="L38" s="24">
        <s:f>IF(OR(L30=0,L32=0,L33=0),"n/m",L35*L36*L37)</s:f>
        <s:v>-0.20323237465003818</s:v>
      </s:c>
      <s:c r="M38" s="24">
        <s:f>IF(OR(M30=0,M32=0,M33=0),"n/m",M35*M36*M37)</s:f>
        <s:v>0.415038271049077</s:v>
      </s:c>
    </s:row>
  </s:sheetData>
  <s:mergeCells count="1">
    <s:mergeCell ref="A1:M1"/>
  </s:mergeCells>
  <s:pageMargins left="0.25" right="0.25" top="0.3" bottom="0.3" header="0.5" footer="0.5"/>
  <s:pageSetup orientation="landscape" paperSize="1" fitToHeight="0" fitToWidth="1"/>
  <s:rowBreaks count="2" manualBreakCount="2">
    <s:brk id="16" min="0" max="16383" man="1"/>
    <s:brk id="28" min="0" max="16383" man="1"/>
  </s:rowBreaks>
</s: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88" customWidth="1" min="2" max="2"/>
    <col width="24" customWidth="1" min="3" max="3"/>
  </cols>
  <sheetData>
    <row r="1" ht="34" customHeight="1">
      <c r="A1" s="14" t="inlineStr">
        <is>
          <t>Notes and sources</t>
        </is>
      </c>
      <c r="B1" s="14" t="inlineStr"/>
      <c r="C1" s="14" t="n"/>
    </row>
    <row r="2" ht="34" customHeight="1">
      <c r="A2" s="15" t="inlineStr">
        <is>
          <t>Units</t>
        </is>
      </c>
      <c r="B2" s="15" t="inlineStr">
        <is>
          <t>Dollar totals are USD millions; shares are millions; basic EPS is dollars per share. Parentheses mean negative values.</t>
        </is>
      </c>
      <c r="C2" s="15" t="n"/>
    </row>
    <row r="3" ht="34" customHeight="1">
      <c r="A3" s="15" t="inlineStr">
        <is>
          <t>Periods</t>
        </is>
      </c>
      <c r="B3" s="15" t="inlineStr">
        <is>
          <t>Yahoo annual period labels are retained; fiscal calendars differ and 52/53-week dates may be normalized to month-end.</t>
        </is>
      </c>
      <c r="C3" s="15" t="n"/>
    </row>
    <row r="4" ht="46" customHeight="1">
      <c r="A4" s="15" t="inlineStr">
        <is>
          <t>Basic EPS and shares</t>
        </is>
      </c>
      <c r="B4" s="15" t="inlineStr">
        <is>
          <t>Basic EPS is Yahoo BasicEPS. Shares outstanding is year-end OrdinarySharesNumber, excluding treasury shares. It is not the weighted-average share count used to calculate EPS.</t>
        </is>
      </c>
      <c r="C4" s="15" t="n"/>
    </row>
    <row r="5" ht="46" customHeight="1">
      <c r="A5" s="15" t="inlineStr">
        <is>
          <t>Year-over-year changes</t>
        </is>
      </c>
      <c r="B5" s="15" t="inlineStr">
        <is>
          <t>Current minus prior. Percentage change divides by the prior value. n/m means a zero or negative prior value makes the usual growth percentage unhelpful; the absolute change is still shown.</t>
        </is>
      </c>
      <c r="C5" s="15" t="n"/>
    </row>
    <row r="6" ht="46" customHeight="1">
      <c r="A6" s="15" t="inlineStr">
        <is>
          <t>Working capital / FCF</t>
        </is>
      </c>
      <c r="B6" s="15" t="inlineStr">
        <is>
          <t>Net working capital = current assets − current liabilities. Changes in net PP&amp;E and working capital support the simplified class FCF calculation. Net PP&amp;E change is not capital expenditure.</t>
        </is>
      </c>
      <c r="C6" s="15" t="n"/>
    </row>
    <row r="7" ht="34" customHeight="1">
      <c r="A7" s="15" t="inlineStr">
        <is>
          <t>Tax and equity</t>
        </is>
      </c>
      <c r="B7" s="15" t="inlineStr">
        <is>
          <t>For the class FCF exercise, use tax provision / pretax income as the tax assumption. Negative equity needs care when interpreting ROE and leverage.</t>
        </is>
      </c>
      <c r="C7" s="15" t="n"/>
    </row>
    <row r="8" ht="34" customHeight="1">
      <c r="A8" s="15" t="inlineStr">
        <is>
          <t>Source snapshots</t>
        </is>
      </c>
      <c r="B8" s="15" t="inlineStr">
        <is>
          <t>Original ten firms and DAL: October 12, 2026. YUM: October 19, 2026. DuPont’s third year comes from the same saved Yahoo annual statements; existing inputs and periods are unchanged.</t>
        </is>
      </c>
      <c r="C8" s="15" t="n"/>
    </row>
    <row r="9">
      <c r="A9" s="15" t="n"/>
      <c r="B9" s="15" t="n"/>
      <c r="C9" s="15" t="n"/>
    </row>
    <row r="10">
      <c r="A10" s="14" t="inlineStr">
        <is>
          <t>Yahoo annual field</t>
        </is>
      </c>
      <c r="B10" s="14" t="inlineStr">
        <is>
          <t>Classroom input</t>
        </is>
      </c>
      <c r="C10" s="14" t="n"/>
    </row>
    <row r="11">
      <c r="A11" s="15" t="inlineStr">
        <is>
          <t>TotalRevenue</t>
        </is>
      </c>
      <c r="B11" s="15" t="inlineStr">
        <is>
          <t>Revenue ($m)</t>
        </is>
      </c>
      <c r="C11" s="15" t="n"/>
    </row>
    <row r="12">
      <c r="A12" s="15" t="inlineStr">
        <is>
          <t>NetIncome</t>
        </is>
      </c>
      <c r="B12" s="15" t="inlineStr">
        <is>
          <t>Net income ($m)</t>
        </is>
      </c>
      <c r="C12" s="15" t="n"/>
    </row>
    <row r="13">
      <c r="A13" s="15" t="inlineStr">
        <is>
          <t>BasicEPS</t>
        </is>
      </c>
      <c r="B13" s="15" t="inlineStr">
        <is>
          <t>Basic EPS ($/share)</t>
        </is>
      </c>
      <c r="C13" s="15" t="n"/>
    </row>
    <row r="14">
      <c r="A14" s="15" t="inlineStr">
        <is>
          <t>OrdinarySharesNumber</t>
        </is>
      </c>
      <c r="B14" s="15" t="inlineStr">
        <is>
          <t>Shares outstanding (m)</t>
        </is>
      </c>
      <c r="C14" s="15" t="n"/>
    </row>
    <row r="15">
      <c r="A15" s="15" t="inlineStr">
        <is>
          <t>TotalAssets</t>
        </is>
      </c>
      <c r="B15" s="15" t="inlineStr">
        <is>
          <t>Total assets ($m)</t>
        </is>
      </c>
      <c r="C15" s="15" t="n"/>
    </row>
    <row r="16">
      <c r="A16" s="15" t="inlineStr">
        <is>
          <t>EBIT</t>
        </is>
      </c>
      <c r="B16" s="15" t="inlineStr">
        <is>
          <t>EBIT ($m)</t>
        </is>
      </c>
      <c r="C16" s="15" t="n"/>
    </row>
    <row r="17">
      <c r="A17" s="15" t="inlineStr">
        <is>
          <t>NetPPE</t>
        </is>
      </c>
      <c r="B17" s="15" t="inlineStr">
        <is>
          <t>Net PP&amp;E ($m)</t>
        </is>
      </c>
      <c r="C17" s="15" t="n"/>
    </row>
    <row r="18">
      <c r="A18" s="15" t="inlineStr">
        <is>
          <t>CurrentAssets</t>
        </is>
      </c>
      <c r="B18" s="15" t="inlineStr">
        <is>
          <t>Current assets ($m)</t>
        </is>
      </c>
      <c r="C18" s="15" t="n"/>
    </row>
    <row r="19">
      <c r="A19" s="15" t="inlineStr">
        <is>
          <t>CurrentLiabilities</t>
        </is>
      </c>
      <c r="B19" s="15" t="inlineStr">
        <is>
          <t>Current liabilities ($m)</t>
        </is>
      </c>
      <c r="C19" s="15" t="n"/>
    </row>
    <row r="20">
      <c r="A20" s="15" t="inlineStr">
        <is>
          <t>StockholdersEquity</t>
        </is>
      </c>
      <c r="B20" s="15" t="inlineStr">
        <is>
          <t>Stockholders’ equity ($m)</t>
        </is>
      </c>
      <c r="C20" s="15" t="n"/>
    </row>
    <row r="21">
      <c r="A21" s="15" t="inlineStr">
        <is>
          <t>PretaxIncome</t>
        </is>
      </c>
      <c r="B21" s="15" t="inlineStr">
        <is>
          <t>Pretax income ($m)</t>
        </is>
      </c>
      <c r="C21" s="15" t="n"/>
    </row>
    <row r="22">
      <c r="A22" s="15" t="inlineStr">
        <is>
          <t>TaxProvision</t>
        </is>
      </c>
      <c r="B22" s="15" t="inlineStr">
        <is>
          <t>Tax provision ($m)</t>
        </is>
      </c>
      <c r="C22" s="15" t="n"/>
    </row>
    <row r="23">
      <c r="A23" s="15" t="n"/>
      <c r="B23" s="15" t="n"/>
      <c r="C23" s="15" t="n"/>
    </row>
    <row r="24">
      <c r="A24" s="14" t="inlineStr">
        <is>
          <t>Company</t>
        </is>
      </c>
      <c r="B24" s="14" t="inlineStr">
        <is>
          <t>Yahoo statement sources</t>
        </is>
      </c>
      <c r="C24" s="14" t="n"/>
    </row>
    <row r="25">
      <c r="A25" s="15" t="inlineStr">
        <is>
          <t>WMT</t>
        </is>
      </c>
      <c r="B25" s="16" t="inlineStr">
        <is>
          <t>Income statement</t>
        </is>
      </c>
      <c r="C25" s="16" t="inlineStr">
        <is>
          <t>Balance sheet</t>
        </is>
      </c>
    </row>
    <row r="26">
      <c r="A26" s="15" t="inlineStr">
        <is>
          <t>TGT</t>
        </is>
      </c>
      <c r="B26" s="16" t="inlineStr">
        <is>
          <t>Income statement</t>
        </is>
      </c>
      <c r="C26" s="16" t="inlineStr">
        <is>
          <t>Balance sheet</t>
        </is>
      </c>
    </row>
    <row r="27">
      <c r="A27" s="15" t="inlineStr">
        <is>
          <t>COST</t>
        </is>
      </c>
      <c r="B27" s="16" t="inlineStr">
        <is>
          <t>Income statement</t>
        </is>
      </c>
      <c r="C27" s="16" t="inlineStr">
        <is>
          <t>Balance sheet</t>
        </is>
      </c>
    </row>
    <row r="28">
      <c r="A28" s="15" t="inlineStr">
        <is>
          <t>HD</t>
        </is>
      </c>
      <c r="B28" s="16" t="inlineStr">
        <is>
          <t>Income statement</t>
        </is>
      </c>
      <c r="C28" s="16" t="inlineStr">
        <is>
          <t>Balance sheet</t>
        </is>
      </c>
    </row>
    <row r="29">
      <c r="A29" s="15" t="inlineStr">
        <is>
          <t>LOW</t>
        </is>
      </c>
      <c r="B29" s="16" t="inlineStr">
        <is>
          <t>Income statement</t>
        </is>
      </c>
      <c r="C29" s="16" t="inlineStr">
        <is>
          <t>Balance sheet</t>
        </is>
      </c>
    </row>
    <row r="30">
      <c r="A30" s="15" t="inlineStr">
        <is>
          <t>NKE</t>
        </is>
      </c>
      <c r="B30" s="16" t="inlineStr">
        <is>
          <t>Income statement</t>
        </is>
      </c>
      <c r="C30" s="16" t="inlineStr">
        <is>
          <t>Balance sheet</t>
        </is>
      </c>
    </row>
    <row r="31">
      <c r="A31" s="15" t="inlineStr">
        <is>
          <t>KO</t>
        </is>
      </c>
      <c r="B31" s="16" t="inlineStr">
        <is>
          <t>Income statement</t>
        </is>
      </c>
      <c r="C31" s="16" t="inlineStr">
        <is>
          <t>Balance sheet</t>
        </is>
      </c>
    </row>
    <row r="32">
      <c r="A32" s="15" t="inlineStr">
        <is>
          <t>PEP</t>
        </is>
      </c>
      <c r="B32" s="16" t="inlineStr">
        <is>
          <t>Income statement</t>
        </is>
      </c>
      <c r="C32" s="16" t="inlineStr">
        <is>
          <t>Balance sheet</t>
        </is>
      </c>
    </row>
    <row r="33">
      <c r="A33" s="15" t="inlineStr">
        <is>
          <t>PG</t>
        </is>
      </c>
      <c r="B33" s="16" t="inlineStr">
        <is>
          <t>Income statement</t>
        </is>
      </c>
      <c r="C33" s="16" t="inlineStr">
        <is>
          <t>Balance sheet</t>
        </is>
      </c>
    </row>
    <row r="34">
      <c r="A34" s="15" t="inlineStr">
        <is>
          <t>SBUX</t>
        </is>
      </c>
      <c r="B34" s="16" t="inlineStr">
        <is>
          <t>Income statement</t>
        </is>
      </c>
      <c r="C34" s="16" t="inlineStr">
        <is>
          <t>Balance sheet</t>
        </is>
      </c>
    </row>
    <row r="35">
      <c r="A35" s="15" t="inlineStr">
        <is>
          <t>YUM</t>
        </is>
      </c>
      <c r="B35" s="16" t="inlineStr">
        <is>
          <t>Income statement</t>
        </is>
      </c>
      <c r="C35" s="16" t="inlineStr">
        <is>
          <t>Balance sheet</t>
        </is>
      </c>
    </row>
    <row r="36">
      <c r="A36" s="15" t="inlineStr">
        <is>
          <t>DAL</t>
        </is>
      </c>
      <c r="B36" s="16" t="inlineStr">
        <is>
          <t>Income statement</t>
        </is>
      </c>
      <c r="C36" s="16" t="inlineStr">
        <is>
          <t>Balance sheet</t>
        </is>
      </c>
    </row>
    <row r="37" ht="46" customHeight="1">
      <c r="A37" s="15" t="inlineStr">
        <is>
          <t>DuPont</t>
        </is>
      </c>
      <c r="B37" s="15" t="inlineStr">
        <is>
          <t>Net profit margin = NI / revenue; asset turnover = revenue / assets; equity multiplier = assets / equity. Their product is ROE = NI / equity.</t>
        </is>
      </c>
    </row>
    <row r="38" ht="46" customHeight="1">
      <c r="A38" s="15" t="inlineStr">
        <is>
          <t>DuPont balances</t>
        </is>
      </c>
      <c r="B38" s="15" t="inlineStr">
        <is>
          <t>Use year-end assets and equity, consistent with this class workbook. Three annual periods are shown for each company; fiscal calendars differ.</t>
        </is>
      </c>
    </row>
    <row r="39" ht="46" customHeight="1">
      <c r="A39" s="15" t="inlineStr">
        <is>
          <t>DuPont interpretation</t>
        </is>
      </c>
      <c r="B39" s="15" t="inlineStr">
        <is>
          <t>Negative equity produces negative ROE even with positive income; it is not an ordinary profitability comparison. A small equity base can produce very large ratios. Zero denominators display n/m.</t>
        </is>
      </c>
    </row>
    <row r="41">
      <c r="A41" t="inlineStr">
        <is>
          <t>Ratio</t>
        </is>
      </c>
      <c r="B41" t="inlineStr">
        <is>
          <t>Formula / convention</t>
        </is>
      </c>
    </row>
    <row r="42" ht="34" customHeight="1">
      <c r="A42" s="15" t="inlineStr">
        <is>
          <t>Gross margin</t>
        </is>
      </c>
      <c r="B42" s="15" t="inlineStr">
        <is>
          <t>Gross profit / revenue</t>
        </is>
      </c>
    </row>
    <row r="43" ht="34" customHeight="1">
      <c r="A43" s="15" t="inlineStr">
        <is>
          <t>Net profit margin</t>
        </is>
      </c>
      <c r="B43" s="15" t="inlineStr">
        <is>
          <t>Net income / revenue</t>
        </is>
      </c>
    </row>
    <row r="44" ht="34" customHeight="1">
      <c r="A44" s="15" t="inlineStr">
        <is>
          <t>ROA</t>
        </is>
      </c>
      <c r="B44" s="15" t="inlineStr">
        <is>
          <t>(Net income + interest expense) / total assets — the instructor-notes convention.</t>
        </is>
      </c>
    </row>
    <row r="45" ht="34" customHeight="1">
      <c r="A45" s="15" t="inlineStr">
        <is>
          <t>ROE</t>
        </is>
      </c>
      <c r="B45" s="15" t="inlineStr">
        <is>
          <t>Net income / book equity</t>
        </is>
      </c>
    </row>
    <row r="46" ht="34" customHeight="1">
      <c r="A46" s="15" t="inlineStr">
        <is>
          <t>Current ratio</t>
        </is>
      </c>
      <c r="B46" s="15" t="inlineStr">
        <is>
          <t>Current assets / current liabilities</t>
        </is>
      </c>
    </row>
    <row r="47" ht="34" customHeight="1">
      <c r="A47" s="15" t="inlineStr">
        <is>
          <t>Quick ratio</t>
        </is>
      </c>
      <c r="B47" s="15" t="inlineStr">
        <is>
          <t>(Cash, cash equivalents and short-term investments + accounts receivable) / current liabilities — slide 6.</t>
        </is>
      </c>
    </row>
    <row r="48" ht="34" customHeight="1">
      <c r="A48" s="15" t="inlineStr">
        <is>
          <t>Debt / equity</t>
        </is>
      </c>
      <c r="B48" s="15" t="inlineStr">
        <is>
          <t>Yahoo Total Debt / book equity; includes reported lease obligations. Not total liabilities.</t>
        </is>
      </c>
    </row>
    <row r="49" ht="34" customHeight="1">
      <c r="A49" s="15" t="inlineStr">
        <is>
          <t>Equity multiplier</t>
        </is>
      </c>
      <c r="B49" s="15" t="inlineStr">
        <is>
          <t>Total assets / book equity</t>
        </is>
      </c>
    </row>
    <row r="50" ht="34" customHeight="1">
      <c r="A50" s="15" t="inlineStr">
        <is>
          <t>Interest coverage</t>
        </is>
      </c>
      <c r="B50" s="15" t="inlineStr">
        <is>
          <t>EBIT / interest expense</t>
        </is>
      </c>
    </row>
    <row r="51" ht="34" customHeight="1">
      <c r="A51" s="15" t="inlineStr">
        <is>
          <t>Asset turnover</t>
        </is>
      </c>
      <c r="B51" s="15" t="inlineStr">
        <is>
          <t>Revenue / total assets</t>
        </is>
      </c>
    </row>
    <row r="52" ht="34" customHeight="1">
      <c r="A52" s="15" t="inlineStr">
        <is>
          <t>Inventory turnover</t>
        </is>
      </c>
      <c r="B52" s="15" t="inlineStr">
        <is>
          <t>Cost of revenue / inventory</t>
        </is>
      </c>
    </row>
    <row r="53" ht="34" customHeight="1">
      <c r="A53" s="15" t="inlineStr">
        <is>
          <t>Periods and inputs</t>
        </is>
      </c>
      <c r="B53" s="15" t="inlineStr">
        <is>
          <t>Year-end balances, matching DuPont. Inputs are below the ratio tables on Ratios; the print area includes the tables only.</t>
        </is>
      </c>
    </row>
    <row r="54" ht="46" customHeight="1">
      <c r="A54" s="15" t="inlineStr">
        <is>
          <t>Missing data</t>
        </is>
      </c>
      <c r="B54" s="15" t="inlineStr">
        <is>
          <t>n/a = source input unavailable; n/m = zero denominator. YUM inventory is not separately available for all three years; Lowe’s oldest-year receivables are unavailable. These are not zeros.</t>
        </is>
      </c>
    </row>
    <row r="55" ht="34" customHeight="1">
      <c r="A55" s="15" t="inlineStr">
        <is>
          <t>Nike interest</t>
        </is>
      </c>
      <c r="B55" s="15" t="inlineStr">
        <is>
          <t>Gross interest is reconstructed from the 2026 10-K: investment interest income minus net interest income = $228m / $297m / $269m (2026 / 2025 / 2024).</t>
        </is>
      </c>
    </row>
    <row r="56" ht="46" customHeight="1">
      <c r="A56" s="15" t="inlineStr">
        <is>
          <t>Comparisons</t>
        </is>
      </c>
      <c r="B56" s="15" t="inlineStr">
        <is>
          <t>Negative equity makes debt/equity and ROE hard to interpret. Gross-profit and cost classifications differ across industries; YUM’s franchise model differs from retailers.</t>
        </is>
      </c>
    </row>
    <row r="58">
      <c r="A58" s="27" t="inlineStr">
        <is>
          <t>Nike 2026 10-K</t>
        </is>
      </c>
      <c r="B58" s="28" t="inlineStr">
        <is>
          <t>Supplementary source</t>
        </is>
      </c>
    </row>
    <row r="59">
      <c r="A59" s="27" t="inlineStr">
        <is>
          <t>YUM 2025 10-K</t>
        </is>
      </c>
      <c r="B59" s="28" t="inlineStr">
        <is>
          <t>Supplementary source</t>
        </is>
      </c>
    </row>
    <row r="60">
      <c r="A60" s="27" t="inlineStr">
        <is>
          <t>YUM 2024 10-K</t>
        </is>
      </c>
      <c r="B60" s="28" t="inlineStr">
        <is>
          <t>Supplementary source</t>
        </is>
      </c>
    </row>
    <row r="61">
      <c r="A61" s="27" t="inlineStr">
        <is>
          <t>Lowe’s FY2023 10-K</t>
        </is>
      </c>
      <c r="B61" s="28" t="inlineStr">
        <is>
          <t>Supplementary source</t>
        </is>
      </c>
    </row>
  </sheetData>
  <hyperlinks>
    <hyperlink xmlns:r="http://schemas.openxmlformats.org/officeDocument/2006/relationships" ref="B25" r:id="rId1"/>
    <hyperlink xmlns:r="http://schemas.openxmlformats.org/officeDocument/2006/relationships" ref="C25" r:id="rId2"/>
    <hyperlink xmlns:r="http://schemas.openxmlformats.org/officeDocument/2006/relationships" ref="B26" r:id="rId3"/>
    <hyperlink xmlns:r="http://schemas.openxmlformats.org/officeDocument/2006/relationships" ref="C26" r:id="rId4"/>
    <hyperlink xmlns:r="http://schemas.openxmlformats.org/officeDocument/2006/relationships" ref="B27" r:id="rId5"/>
    <hyperlink xmlns:r="http://schemas.openxmlformats.org/officeDocument/2006/relationships" ref="C27" r:id="rId6"/>
    <hyperlink xmlns:r="http://schemas.openxmlformats.org/officeDocument/2006/relationships" ref="B28" r:id="rId7"/>
    <hyperlink xmlns:r="http://schemas.openxmlformats.org/officeDocument/2006/relationships" ref="C28" r:id="rId8"/>
    <hyperlink xmlns:r="http://schemas.openxmlformats.org/officeDocument/2006/relationships" ref="B29" r:id="rId9"/>
    <hyperlink xmlns:r="http://schemas.openxmlformats.org/officeDocument/2006/relationships" ref="C29" r:id="rId10"/>
    <hyperlink xmlns:r="http://schemas.openxmlformats.org/officeDocument/2006/relationships" ref="B30" r:id="rId11"/>
    <hyperlink xmlns:r="http://schemas.openxmlformats.org/officeDocument/2006/relationships" ref="C30" r:id="rId12"/>
    <hyperlink xmlns:r="http://schemas.openxmlformats.org/officeDocument/2006/relationships" ref="B31" r:id="rId13"/>
    <hyperlink xmlns:r="http://schemas.openxmlformats.org/officeDocument/2006/relationships" ref="C31" r:id="rId14"/>
    <hyperlink xmlns:r="http://schemas.openxmlformats.org/officeDocument/2006/relationships" ref="B32" r:id="rId15"/>
    <hyperlink xmlns:r="http://schemas.openxmlformats.org/officeDocument/2006/relationships" ref="C32" r:id="rId16"/>
    <hyperlink xmlns:r="http://schemas.openxmlformats.org/officeDocument/2006/relationships" ref="B33" r:id="rId17"/>
    <hyperlink xmlns:r="http://schemas.openxmlformats.org/officeDocument/2006/relationships" ref="C33" r:id="rId18"/>
    <hyperlink xmlns:r="http://schemas.openxmlformats.org/officeDocument/2006/relationships" ref="B34" r:id="rId19"/>
    <hyperlink xmlns:r="http://schemas.openxmlformats.org/officeDocument/2006/relationships" ref="C34" r:id="rId20"/>
    <hyperlink xmlns:r="http://schemas.openxmlformats.org/officeDocument/2006/relationships" ref="B35" r:id="rId21"/>
    <hyperlink xmlns:r="http://schemas.openxmlformats.org/officeDocument/2006/relationships" ref="C35" r:id="rId22"/>
    <hyperlink xmlns:r="http://schemas.openxmlformats.org/officeDocument/2006/relationships" ref="B36" r:id="rId23"/>
    <hyperlink xmlns:r="http://schemas.openxmlformats.org/officeDocument/2006/relationships" ref="C36" r:id="rId24"/>
    <hyperlink xmlns:r="http://schemas.openxmlformats.org/officeDocument/2006/relationships" ref="B58" r:id="rId25"/>
    <hyperlink xmlns:r="http://schemas.openxmlformats.org/officeDocument/2006/relationships" ref="B59" r:id="rId26"/>
    <hyperlink xmlns:r="http://schemas.openxmlformats.org/officeDocument/2006/relationships" ref="B60" r:id="rId27"/>
    <hyperlink xmlns:r="http://schemas.openxmlformats.org/officeDocument/2006/relationships" ref="B61" r:id="rId28"/>
  </hyperlinks>
  <pageMargins left="0.75" right="0.75" top="1" bottom="1" header="0.5" footer="0.5"/>
  <pageSetup orientation="landscape" fitToHeight="0" fitToWidth="1"/>
  <rowBreaks count="1" manualBreakCount="1"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Boone Bowles</dc:creator>
  <dc:title>Module 2 — 12-company classroom data</dc:title>
  <dcterms:created xsi:type="dcterms:W3CDTF">2026-10-19T18:03:33Z</dcterms:created>
  <dcterms:modified xsi:type="dcterms:W3CDTF">2026-10-19T18:50:28Z</dcterms:modified>
</cp:coreProperties>
</file>