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s-my.sharepoint.com/personal/boone_bowles_tamu_edu/Documents/tbowles/02teaching/00finc612/2026_fall/classes/2026-10-22/"/>
    </mc:Choice>
  </mc:AlternateContent>
  <xr:revisionPtr revIDLastSave="16" documentId="8_{ABA4EEE0-453C-40AC-80AB-8F0420BFC31B}" xr6:coauthVersionLast="47" xr6:coauthVersionMax="47" xr10:uidLastSave="{76000680-D37A-4AA2-BDEF-789653642092}"/>
  <bookViews>
    <workbookView xWindow="-120" yWindow="-120" windowWidth="29040" windowHeight="15720" xr2:uid="{18A87126-A2EC-48E1-A1EB-7144CFD09631}"/>
  </bookViews>
  <sheets>
    <sheet name="The Short Way" sheetId="1" r:id="rId1"/>
    <sheet name="The Long Way" sheetId="2" r:id="rId2"/>
    <sheet name="The Short Way 606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" i="5" l="1"/>
  <c r="O6" i="5"/>
  <c r="O5" i="5"/>
  <c r="D8" i="5"/>
  <c r="P4" i="5"/>
  <c r="Q4" i="5" s="1"/>
  <c r="E3" i="5"/>
  <c r="F3" i="5" s="1"/>
  <c r="G3" i="5" l="1"/>
  <c r="F8" i="5"/>
  <c r="E8" i="5"/>
  <c r="P6" i="1"/>
  <c r="P5" i="1"/>
  <c r="P4" i="1"/>
  <c r="Q4" i="1" s="1"/>
  <c r="D6" i="1"/>
  <c r="D5" i="2"/>
  <c r="P4" i="2"/>
  <c r="Q4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IB3" i="2" s="1"/>
  <c r="IC3" i="2" s="1"/>
  <c r="ID3" i="2" s="1"/>
  <c r="IE3" i="2" s="1"/>
  <c r="IF3" i="2" s="1"/>
  <c r="IG3" i="2" s="1"/>
  <c r="IH3" i="2" s="1"/>
  <c r="II3" i="2" s="1"/>
  <c r="IJ3" i="2" s="1"/>
  <c r="IK3" i="2" s="1"/>
  <c r="IL3" i="2" s="1"/>
  <c r="IM3" i="2" s="1"/>
  <c r="IN3" i="2" s="1"/>
  <c r="IO3" i="2" s="1"/>
  <c r="IP3" i="2" s="1"/>
  <c r="IQ3" i="2" s="1"/>
  <c r="IR3" i="2" s="1"/>
  <c r="IS3" i="2" s="1"/>
  <c r="IT3" i="2" s="1"/>
  <c r="IU3" i="2" s="1"/>
  <c r="IV3" i="2" s="1"/>
  <c r="IW3" i="2" s="1"/>
  <c r="IX3" i="2" s="1"/>
  <c r="IY3" i="2" s="1"/>
  <c r="IZ3" i="2" s="1"/>
  <c r="JA3" i="2" s="1"/>
  <c r="JB3" i="2" s="1"/>
  <c r="JC3" i="2" s="1"/>
  <c r="JD3" i="2" s="1"/>
  <c r="JE3" i="2" s="1"/>
  <c r="JF3" i="2" s="1"/>
  <c r="JG3" i="2" s="1"/>
  <c r="JH3" i="2" s="1"/>
  <c r="JI3" i="2" s="1"/>
  <c r="JJ3" i="2" s="1"/>
  <c r="JK3" i="2" s="1"/>
  <c r="JL3" i="2" s="1"/>
  <c r="JM3" i="2" s="1"/>
  <c r="JN3" i="2" s="1"/>
  <c r="JO3" i="2" s="1"/>
  <c r="JP3" i="2" s="1"/>
  <c r="JQ3" i="2" s="1"/>
  <c r="JR3" i="2" s="1"/>
  <c r="JS3" i="2" s="1"/>
  <c r="JT3" i="2" s="1"/>
  <c r="JU3" i="2" s="1"/>
  <c r="JV3" i="2" s="1"/>
  <c r="JW3" i="2" s="1"/>
  <c r="JX3" i="2" s="1"/>
  <c r="JY3" i="2" s="1"/>
  <c r="JZ3" i="2" s="1"/>
  <c r="KA3" i="2" s="1"/>
  <c r="KB3" i="2" s="1"/>
  <c r="KC3" i="2" s="1"/>
  <c r="KD3" i="2" s="1"/>
  <c r="KE3" i="2" s="1"/>
  <c r="KF3" i="2" s="1"/>
  <c r="KG3" i="2" s="1"/>
  <c r="KH3" i="2" s="1"/>
  <c r="KI3" i="2" s="1"/>
  <c r="KJ3" i="2" s="1"/>
  <c r="KK3" i="2" s="1"/>
  <c r="KL3" i="2" s="1"/>
  <c r="KM3" i="2" s="1"/>
  <c r="KN3" i="2" s="1"/>
  <c r="KO3" i="2" s="1"/>
  <c r="KP3" i="2" s="1"/>
  <c r="KQ3" i="2" s="1"/>
  <c r="KR3" i="2" s="1"/>
  <c r="E3" i="1"/>
  <c r="F3" i="1" s="1"/>
  <c r="H3" i="5" l="1"/>
  <c r="G8" i="5"/>
  <c r="E6" i="1"/>
  <c r="P5" i="2"/>
  <c r="F6" i="1"/>
  <c r="G3" i="1"/>
  <c r="Q5" i="2"/>
  <c r="R4" i="2"/>
  <c r="R5" i="2" s="1"/>
  <c r="E5" i="2"/>
  <c r="H5" i="2"/>
  <c r="I5" i="2"/>
  <c r="J5" i="2"/>
  <c r="K5" i="2"/>
  <c r="L5" i="2"/>
  <c r="F5" i="2"/>
  <c r="G5" i="2"/>
  <c r="M5" i="2"/>
  <c r="N5" i="2"/>
  <c r="O5" i="2"/>
  <c r="I3" i="5" l="1"/>
  <c r="H8" i="5"/>
  <c r="S4" i="2"/>
  <c r="T4" i="2" s="1"/>
  <c r="H3" i="1"/>
  <c r="G6" i="1"/>
  <c r="J3" i="5" l="1"/>
  <c r="I8" i="5"/>
  <c r="S5" i="2"/>
  <c r="I3" i="1"/>
  <c r="H6" i="1"/>
  <c r="U4" i="2"/>
  <c r="T5" i="2"/>
  <c r="K3" i="5" l="1"/>
  <c r="J8" i="5"/>
  <c r="J3" i="1"/>
  <c r="I6" i="1"/>
  <c r="V4" i="2"/>
  <c r="U5" i="2"/>
  <c r="L3" i="5" l="1"/>
  <c r="K8" i="5"/>
  <c r="W4" i="2"/>
  <c r="V5" i="2"/>
  <c r="J6" i="1"/>
  <c r="K3" i="1"/>
  <c r="L8" i="5" l="1"/>
  <c r="M3" i="5"/>
  <c r="L3" i="1"/>
  <c r="K6" i="1"/>
  <c r="X4" i="2"/>
  <c r="W5" i="2"/>
  <c r="M8" i="5" l="1"/>
  <c r="N3" i="5"/>
  <c r="Y4" i="2"/>
  <c r="X5" i="2"/>
  <c r="M3" i="1"/>
  <c r="L6" i="1"/>
  <c r="O3" i="5" l="1"/>
  <c r="N8" i="5"/>
  <c r="N3" i="1"/>
  <c r="M6" i="1"/>
  <c r="Z4" i="2"/>
  <c r="Y5" i="2"/>
  <c r="P3" i="5" l="1"/>
  <c r="AA4" i="2"/>
  <c r="Z5" i="2"/>
  <c r="O3" i="1"/>
  <c r="N6" i="1"/>
  <c r="Q3" i="5" l="1"/>
  <c r="D9" i="5"/>
  <c r="P3" i="1"/>
  <c r="O6" i="1"/>
  <c r="AB4" i="2"/>
  <c r="AA5" i="2"/>
  <c r="Q3" i="1" l="1"/>
  <c r="D7" i="1"/>
  <c r="AC4" i="2"/>
  <c r="AB5" i="2"/>
  <c r="AD4" i="2" l="1"/>
  <c r="AC5" i="2"/>
  <c r="AE4" i="2" l="1"/>
  <c r="AD5" i="2"/>
  <c r="AF4" i="2" l="1"/>
  <c r="AE5" i="2"/>
  <c r="AG4" i="2" l="1"/>
  <c r="AF5" i="2"/>
  <c r="AH4" i="2" l="1"/>
  <c r="AG5" i="2"/>
  <c r="AI4" i="2" l="1"/>
  <c r="AH5" i="2"/>
  <c r="AJ4" i="2" l="1"/>
  <c r="AI5" i="2"/>
  <c r="AK4" i="2" l="1"/>
  <c r="AJ5" i="2"/>
  <c r="AL4" i="2" l="1"/>
  <c r="AK5" i="2"/>
  <c r="AM4" i="2" l="1"/>
  <c r="AL5" i="2"/>
  <c r="AN4" i="2" l="1"/>
  <c r="AM5" i="2"/>
  <c r="AO4" i="2" l="1"/>
  <c r="AN5" i="2"/>
  <c r="AP4" i="2" l="1"/>
  <c r="AO5" i="2"/>
  <c r="AQ4" i="2" l="1"/>
  <c r="AP5" i="2"/>
  <c r="AR4" i="2" l="1"/>
  <c r="AQ5" i="2"/>
  <c r="AS4" i="2" l="1"/>
  <c r="AR5" i="2"/>
  <c r="AT4" i="2" l="1"/>
  <c r="AS5" i="2"/>
  <c r="AU4" i="2" l="1"/>
  <c r="AT5" i="2"/>
  <c r="AV4" i="2" l="1"/>
  <c r="AU5" i="2"/>
  <c r="AW4" i="2" l="1"/>
  <c r="AV5" i="2"/>
  <c r="AX4" i="2" l="1"/>
  <c r="AW5" i="2"/>
  <c r="AY4" i="2" l="1"/>
  <c r="AX5" i="2"/>
  <c r="AZ4" i="2" l="1"/>
  <c r="AY5" i="2"/>
  <c r="BA4" i="2" l="1"/>
  <c r="AZ5" i="2"/>
  <c r="BB4" i="2" l="1"/>
  <c r="BA5" i="2"/>
  <c r="BC4" i="2" l="1"/>
  <c r="BB5" i="2"/>
  <c r="BD4" i="2" l="1"/>
  <c r="BC5" i="2"/>
  <c r="BE4" i="2" l="1"/>
  <c r="BD5" i="2"/>
  <c r="BF4" i="2" l="1"/>
  <c r="BE5" i="2"/>
  <c r="BG4" i="2" l="1"/>
  <c r="BF5" i="2"/>
  <c r="BH4" i="2" l="1"/>
  <c r="BG5" i="2"/>
  <c r="BI4" i="2" l="1"/>
  <c r="BH5" i="2"/>
  <c r="BJ4" i="2" l="1"/>
  <c r="BI5" i="2"/>
  <c r="BK4" i="2" l="1"/>
  <c r="BJ5" i="2"/>
  <c r="BL4" i="2" l="1"/>
  <c r="BK5" i="2"/>
  <c r="BM4" i="2" l="1"/>
  <c r="BL5" i="2"/>
  <c r="BN4" i="2" l="1"/>
  <c r="BM5" i="2"/>
  <c r="BO4" i="2" l="1"/>
  <c r="BN5" i="2"/>
  <c r="BP4" i="2" l="1"/>
  <c r="BO5" i="2"/>
  <c r="BQ4" i="2" l="1"/>
  <c r="BP5" i="2"/>
  <c r="BR4" i="2" l="1"/>
  <c r="BQ5" i="2"/>
  <c r="BS4" i="2" l="1"/>
  <c r="BR5" i="2"/>
  <c r="BT4" i="2" l="1"/>
  <c r="BS5" i="2"/>
  <c r="BU4" i="2" l="1"/>
  <c r="BT5" i="2"/>
  <c r="BV4" i="2" l="1"/>
  <c r="BU5" i="2"/>
  <c r="BW4" i="2" l="1"/>
  <c r="BV5" i="2"/>
  <c r="BX4" i="2" l="1"/>
  <c r="BW5" i="2"/>
  <c r="BY4" i="2" l="1"/>
  <c r="BX5" i="2"/>
  <c r="BZ4" i="2" l="1"/>
  <c r="BY5" i="2"/>
  <c r="CA4" i="2" l="1"/>
  <c r="BZ5" i="2"/>
  <c r="CB4" i="2" l="1"/>
  <c r="CA5" i="2"/>
  <c r="CC4" i="2" l="1"/>
  <c r="CB5" i="2"/>
  <c r="CD4" i="2" l="1"/>
  <c r="CC5" i="2"/>
  <c r="CE4" i="2" l="1"/>
  <c r="CD5" i="2"/>
  <c r="CF4" i="2" l="1"/>
  <c r="CE5" i="2"/>
  <c r="CG4" i="2" l="1"/>
  <c r="CF5" i="2"/>
  <c r="CH4" i="2" l="1"/>
  <c r="CG5" i="2"/>
  <c r="CI4" i="2" l="1"/>
  <c r="CH5" i="2"/>
  <c r="CJ4" i="2" l="1"/>
  <c r="CI5" i="2"/>
  <c r="CK4" i="2" l="1"/>
  <c r="CJ5" i="2"/>
  <c r="CL4" i="2" l="1"/>
  <c r="CK5" i="2"/>
  <c r="CM4" i="2" l="1"/>
  <c r="CL5" i="2"/>
  <c r="CN4" i="2" l="1"/>
  <c r="CM5" i="2"/>
  <c r="CO4" i="2" l="1"/>
  <c r="CN5" i="2"/>
  <c r="CP4" i="2" l="1"/>
  <c r="CO5" i="2"/>
  <c r="CQ4" i="2" l="1"/>
  <c r="CP5" i="2"/>
  <c r="CR4" i="2" l="1"/>
  <c r="CQ5" i="2"/>
  <c r="CS4" i="2" l="1"/>
  <c r="CR5" i="2"/>
  <c r="CT4" i="2" l="1"/>
  <c r="CS5" i="2"/>
  <c r="CU4" i="2" l="1"/>
  <c r="CT5" i="2"/>
  <c r="CV4" i="2" l="1"/>
  <c r="CU5" i="2"/>
  <c r="CW4" i="2" l="1"/>
  <c r="CV5" i="2"/>
  <c r="CX4" i="2" l="1"/>
  <c r="CW5" i="2"/>
  <c r="CY4" i="2" l="1"/>
  <c r="CX5" i="2"/>
  <c r="CZ4" i="2" l="1"/>
  <c r="CY5" i="2"/>
  <c r="DA4" i="2" l="1"/>
  <c r="CZ5" i="2"/>
  <c r="DB4" i="2" l="1"/>
  <c r="DA5" i="2"/>
  <c r="DC4" i="2" l="1"/>
  <c r="DB5" i="2"/>
  <c r="DD4" i="2" l="1"/>
  <c r="DC5" i="2"/>
  <c r="DE4" i="2" l="1"/>
  <c r="DD5" i="2"/>
  <c r="DF4" i="2" l="1"/>
  <c r="DE5" i="2"/>
  <c r="DG4" i="2" l="1"/>
  <c r="DF5" i="2"/>
  <c r="DH4" i="2" l="1"/>
  <c r="DG5" i="2"/>
  <c r="DI4" i="2" l="1"/>
  <c r="DH5" i="2"/>
  <c r="DJ4" i="2" l="1"/>
  <c r="DI5" i="2"/>
  <c r="DK4" i="2" l="1"/>
  <c r="DJ5" i="2"/>
  <c r="DL4" i="2" l="1"/>
  <c r="DK5" i="2"/>
  <c r="DM4" i="2" l="1"/>
  <c r="DL5" i="2"/>
  <c r="DN4" i="2" l="1"/>
  <c r="DM5" i="2"/>
  <c r="DO4" i="2" l="1"/>
  <c r="DN5" i="2"/>
  <c r="DP4" i="2" l="1"/>
  <c r="DO5" i="2"/>
  <c r="DQ4" i="2" l="1"/>
  <c r="DP5" i="2"/>
  <c r="DR4" i="2" l="1"/>
  <c r="DQ5" i="2"/>
  <c r="DS4" i="2" l="1"/>
  <c r="DR5" i="2"/>
  <c r="DT4" i="2" l="1"/>
  <c r="DS5" i="2"/>
  <c r="DU4" i="2" l="1"/>
  <c r="DT5" i="2"/>
  <c r="DV4" i="2" l="1"/>
  <c r="DU5" i="2"/>
  <c r="DW4" i="2" l="1"/>
  <c r="DV5" i="2"/>
  <c r="DX4" i="2" l="1"/>
  <c r="DW5" i="2"/>
  <c r="DY4" i="2" l="1"/>
  <c r="DX5" i="2"/>
  <c r="DZ4" i="2" l="1"/>
  <c r="DY5" i="2"/>
  <c r="EA4" i="2" l="1"/>
  <c r="DZ5" i="2"/>
  <c r="EB4" i="2" l="1"/>
  <c r="EA5" i="2"/>
  <c r="EC4" i="2" l="1"/>
  <c r="EB5" i="2"/>
  <c r="ED4" i="2" l="1"/>
  <c r="EC5" i="2"/>
  <c r="EE4" i="2" l="1"/>
  <c r="ED5" i="2"/>
  <c r="EF4" i="2" l="1"/>
  <c r="EE5" i="2"/>
  <c r="EG4" i="2" l="1"/>
  <c r="EF5" i="2"/>
  <c r="EH4" i="2" l="1"/>
  <c r="EG5" i="2"/>
  <c r="EI4" i="2" l="1"/>
  <c r="EH5" i="2"/>
  <c r="EJ4" i="2" l="1"/>
  <c r="EI5" i="2"/>
  <c r="EK4" i="2" l="1"/>
  <c r="EJ5" i="2"/>
  <c r="EL4" i="2" l="1"/>
  <c r="EK5" i="2"/>
  <c r="EM4" i="2" l="1"/>
  <c r="EL5" i="2"/>
  <c r="EN4" i="2" l="1"/>
  <c r="EM5" i="2"/>
  <c r="EO4" i="2" l="1"/>
  <c r="EN5" i="2"/>
  <c r="EP4" i="2" l="1"/>
  <c r="EO5" i="2"/>
  <c r="EQ4" i="2" l="1"/>
  <c r="EP5" i="2"/>
  <c r="ER4" i="2" l="1"/>
  <c r="EQ5" i="2"/>
  <c r="ES4" i="2" l="1"/>
  <c r="ER5" i="2"/>
  <c r="ET4" i="2" l="1"/>
  <c r="ES5" i="2"/>
  <c r="EU4" i="2" l="1"/>
  <c r="ET5" i="2"/>
  <c r="EV4" i="2" l="1"/>
  <c r="EU5" i="2"/>
  <c r="EW4" i="2" l="1"/>
  <c r="EV5" i="2"/>
  <c r="EX4" i="2" l="1"/>
  <c r="EW5" i="2"/>
  <c r="EY4" i="2" l="1"/>
  <c r="EX5" i="2"/>
  <c r="EZ4" i="2" l="1"/>
  <c r="EY5" i="2"/>
  <c r="FA4" i="2" l="1"/>
  <c r="EZ5" i="2"/>
  <c r="FB4" i="2" l="1"/>
  <c r="FA5" i="2"/>
  <c r="FC4" i="2" l="1"/>
  <c r="FB5" i="2"/>
  <c r="FD4" i="2" l="1"/>
  <c r="FC5" i="2"/>
  <c r="FE4" i="2" l="1"/>
  <c r="FD5" i="2"/>
  <c r="FF4" i="2" l="1"/>
  <c r="FE5" i="2"/>
  <c r="FG4" i="2" l="1"/>
  <c r="FF5" i="2"/>
  <c r="FH4" i="2" l="1"/>
  <c r="FG5" i="2"/>
  <c r="FI4" i="2" l="1"/>
  <c r="FH5" i="2"/>
  <c r="FJ4" i="2" l="1"/>
  <c r="FI5" i="2"/>
  <c r="FK4" i="2" l="1"/>
  <c r="FJ5" i="2"/>
  <c r="FL4" i="2" l="1"/>
  <c r="FK5" i="2"/>
  <c r="FM4" i="2" l="1"/>
  <c r="FL5" i="2"/>
  <c r="FN4" i="2" l="1"/>
  <c r="FM5" i="2"/>
  <c r="FO4" i="2" l="1"/>
  <c r="FN5" i="2"/>
  <c r="FP4" i="2" l="1"/>
  <c r="FO5" i="2"/>
  <c r="FQ4" i="2" l="1"/>
  <c r="FP5" i="2"/>
  <c r="FR4" i="2" l="1"/>
  <c r="FQ5" i="2"/>
  <c r="FS4" i="2" l="1"/>
  <c r="FR5" i="2"/>
  <c r="FT4" i="2" l="1"/>
  <c r="FS5" i="2"/>
  <c r="FU4" i="2" l="1"/>
  <c r="FT5" i="2"/>
  <c r="FV4" i="2" l="1"/>
  <c r="FU5" i="2"/>
  <c r="FW4" i="2" l="1"/>
  <c r="FV5" i="2"/>
  <c r="FX4" i="2" l="1"/>
  <c r="FW5" i="2"/>
  <c r="FY4" i="2" l="1"/>
  <c r="FX5" i="2"/>
  <c r="FZ4" i="2" l="1"/>
  <c r="FY5" i="2"/>
  <c r="GA4" i="2" l="1"/>
  <c r="FZ5" i="2"/>
  <c r="GB4" i="2" l="1"/>
  <c r="GA5" i="2"/>
  <c r="GC4" i="2" l="1"/>
  <c r="GB5" i="2"/>
  <c r="GD4" i="2" l="1"/>
  <c r="GC5" i="2"/>
  <c r="GE4" i="2" l="1"/>
  <c r="GD5" i="2"/>
  <c r="GF4" i="2" l="1"/>
  <c r="GE5" i="2"/>
  <c r="GG4" i="2" l="1"/>
  <c r="GF5" i="2"/>
  <c r="GH4" i="2" l="1"/>
  <c r="GG5" i="2"/>
  <c r="GI4" i="2" l="1"/>
  <c r="GH5" i="2"/>
  <c r="GJ4" i="2" l="1"/>
  <c r="GI5" i="2"/>
  <c r="GK4" i="2" l="1"/>
  <c r="GJ5" i="2"/>
  <c r="GL4" i="2" l="1"/>
  <c r="GK5" i="2"/>
  <c r="GM4" i="2" l="1"/>
  <c r="GL5" i="2"/>
  <c r="GN4" i="2" l="1"/>
  <c r="GM5" i="2"/>
  <c r="GO4" i="2" l="1"/>
  <c r="GN5" i="2"/>
  <c r="GP4" i="2" l="1"/>
  <c r="GO5" i="2"/>
  <c r="GQ4" i="2" l="1"/>
  <c r="GP5" i="2"/>
  <c r="GR4" i="2" l="1"/>
  <c r="GQ5" i="2"/>
  <c r="GS4" i="2" l="1"/>
  <c r="GR5" i="2"/>
  <c r="GT4" i="2" l="1"/>
  <c r="GS5" i="2"/>
  <c r="GU4" i="2" l="1"/>
  <c r="GT5" i="2"/>
  <c r="GV4" i="2" l="1"/>
  <c r="GU5" i="2"/>
  <c r="GW4" i="2" l="1"/>
  <c r="GV5" i="2"/>
  <c r="GX4" i="2" l="1"/>
  <c r="GW5" i="2"/>
  <c r="GY4" i="2" l="1"/>
  <c r="GX5" i="2"/>
  <c r="GZ4" i="2" l="1"/>
  <c r="GY5" i="2"/>
  <c r="HA4" i="2" l="1"/>
  <c r="GZ5" i="2"/>
  <c r="HB4" i="2" l="1"/>
  <c r="HA5" i="2"/>
  <c r="HC4" i="2" l="1"/>
  <c r="HB5" i="2"/>
  <c r="HD4" i="2" l="1"/>
  <c r="HC5" i="2"/>
  <c r="HE4" i="2" l="1"/>
  <c r="HD5" i="2"/>
  <c r="HF4" i="2" l="1"/>
  <c r="HE5" i="2"/>
  <c r="HG4" i="2" l="1"/>
  <c r="HF5" i="2"/>
  <c r="HH4" i="2" l="1"/>
  <c r="HG5" i="2"/>
  <c r="HI4" i="2" l="1"/>
  <c r="HH5" i="2"/>
  <c r="HJ4" i="2" l="1"/>
  <c r="HI5" i="2"/>
  <c r="HK4" i="2" l="1"/>
  <c r="HJ5" i="2"/>
  <c r="HK5" i="2" l="1"/>
  <c r="HL4" i="2"/>
  <c r="HM4" i="2" l="1"/>
  <c r="HL5" i="2"/>
  <c r="HM5" i="2" l="1"/>
  <c r="HN4" i="2"/>
  <c r="HN5" i="2" l="1"/>
  <c r="HO4" i="2"/>
  <c r="HO5" i="2" l="1"/>
  <c r="HP4" i="2"/>
  <c r="HP5" i="2" l="1"/>
  <c r="HQ4" i="2"/>
  <c r="HQ5" i="2" l="1"/>
  <c r="HR4" i="2"/>
  <c r="HS4" i="2" l="1"/>
  <c r="HR5" i="2"/>
  <c r="HS5" i="2" l="1"/>
  <c r="HT4" i="2"/>
  <c r="HU4" i="2" l="1"/>
  <c r="HT5" i="2"/>
  <c r="HU5" i="2" l="1"/>
  <c r="HV4" i="2"/>
  <c r="HV5" i="2" l="1"/>
  <c r="HW4" i="2"/>
  <c r="HW5" i="2" l="1"/>
  <c r="HX4" i="2"/>
  <c r="HY4" i="2" l="1"/>
  <c r="HX5" i="2"/>
  <c r="HY5" i="2" l="1"/>
  <c r="HZ4" i="2"/>
  <c r="HZ5" i="2" l="1"/>
  <c r="IA4" i="2"/>
  <c r="IA5" i="2" l="1"/>
  <c r="IB4" i="2"/>
  <c r="IC4" i="2" l="1"/>
  <c r="IB5" i="2"/>
  <c r="IC5" i="2" l="1"/>
  <c r="ID4" i="2"/>
  <c r="IE4" i="2" l="1"/>
  <c r="ID5" i="2"/>
  <c r="IE5" i="2" l="1"/>
  <c r="IF4" i="2"/>
  <c r="IF5" i="2" l="1"/>
  <c r="IG4" i="2"/>
  <c r="IG5" i="2" l="1"/>
  <c r="IH4" i="2"/>
  <c r="II4" i="2" l="1"/>
  <c r="IH5" i="2"/>
  <c r="II5" i="2" l="1"/>
  <c r="IJ4" i="2"/>
  <c r="IJ5" i="2" l="1"/>
  <c r="IK4" i="2"/>
  <c r="IK5" i="2" l="1"/>
  <c r="IL4" i="2"/>
  <c r="IL5" i="2" l="1"/>
  <c r="IM4" i="2"/>
  <c r="IM5" i="2" l="1"/>
  <c r="IN4" i="2"/>
  <c r="IO4" i="2" l="1"/>
  <c r="IN5" i="2"/>
  <c r="IO5" i="2" l="1"/>
  <c r="IP4" i="2"/>
  <c r="IP5" i="2" l="1"/>
  <c r="IQ4" i="2"/>
  <c r="IQ5" i="2" l="1"/>
  <c r="IR4" i="2"/>
  <c r="IR5" i="2" l="1"/>
  <c r="IS4" i="2"/>
  <c r="IS5" i="2" l="1"/>
  <c r="IT4" i="2"/>
  <c r="IT5" i="2" l="1"/>
  <c r="IU4" i="2"/>
  <c r="IU5" i="2" l="1"/>
  <c r="IV4" i="2"/>
  <c r="IV5" i="2" l="1"/>
  <c r="IW4" i="2"/>
  <c r="IW5" i="2" l="1"/>
  <c r="IX4" i="2"/>
  <c r="IX5" i="2" l="1"/>
  <c r="IY4" i="2"/>
  <c r="IY5" i="2" l="1"/>
  <c r="IZ4" i="2"/>
  <c r="IZ5" i="2" l="1"/>
  <c r="JA4" i="2"/>
  <c r="JA5" i="2" l="1"/>
  <c r="JB4" i="2"/>
  <c r="JC4" i="2" l="1"/>
  <c r="JB5" i="2"/>
  <c r="JC5" i="2" l="1"/>
  <c r="JD4" i="2"/>
  <c r="JD5" i="2" l="1"/>
  <c r="JE4" i="2"/>
  <c r="JF4" i="2" l="1"/>
  <c r="JE5" i="2"/>
  <c r="JG4" i="2" l="1"/>
  <c r="JF5" i="2"/>
  <c r="JH4" i="2" l="1"/>
  <c r="JG5" i="2"/>
  <c r="JI4" i="2" l="1"/>
  <c r="JH5" i="2"/>
  <c r="JI5" i="2" l="1"/>
  <c r="JJ4" i="2"/>
  <c r="JJ5" i="2" l="1"/>
  <c r="JK4" i="2"/>
  <c r="JL4" i="2" l="1"/>
  <c r="JK5" i="2"/>
  <c r="JM4" i="2" l="1"/>
  <c r="JL5" i="2"/>
  <c r="JM5" i="2" l="1"/>
  <c r="JN4" i="2"/>
  <c r="JN5" i="2" l="1"/>
  <c r="JO4" i="2"/>
  <c r="JP4" i="2" l="1"/>
  <c r="JO5" i="2"/>
  <c r="JQ4" i="2" l="1"/>
  <c r="JP5" i="2"/>
  <c r="JR4" i="2" l="1"/>
  <c r="JQ5" i="2"/>
  <c r="JS4" i="2" l="1"/>
  <c r="JR5" i="2"/>
  <c r="JS5" i="2" l="1"/>
  <c r="JT4" i="2"/>
  <c r="JT5" i="2" l="1"/>
  <c r="JU4" i="2"/>
  <c r="JU5" i="2" l="1"/>
  <c r="JV4" i="2"/>
  <c r="JW4" i="2" l="1"/>
  <c r="JV5" i="2"/>
  <c r="JW5" i="2" l="1"/>
  <c r="JX4" i="2"/>
  <c r="JY4" i="2" l="1"/>
  <c r="JX5" i="2"/>
  <c r="JY5" i="2" l="1"/>
  <c r="JZ4" i="2"/>
  <c r="KA4" i="2" l="1"/>
  <c r="JZ5" i="2"/>
  <c r="KA5" i="2" l="1"/>
  <c r="KB4" i="2"/>
  <c r="KC4" i="2" l="1"/>
  <c r="KB5" i="2"/>
  <c r="KC5" i="2" l="1"/>
  <c r="KD4" i="2"/>
  <c r="KD5" i="2" l="1"/>
  <c r="KE4" i="2"/>
  <c r="KF4" i="2" l="1"/>
  <c r="KE5" i="2"/>
  <c r="KG4" i="2" l="1"/>
  <c r="KF5" i="2"/>
  <c r="KG5" i="2" l="1"/>
  <c r="KH4" i="2"/>
  <c r="KH5" i="2" l="1"/>
  <c r="KI4" i="2"/>
  <c r="KI5" i="2" l="1"/>
  <c r="KJ4" i="2"/>
  <c r="KJ5" i="2" l="1"/>
  <c r="KK4" i="2"/>
  <c r="KL4" i="2" l="1"/>
  <c r="KK5" i="2"/>
  <c r="KM4" i="2" l="1"/>
  <c r="KL5" i="2"/>
  <c r="KM5" i="2" l="1"/>
  <c r="KN4" i="2"/>
  <c r="KN5" i="2" l="1"/>
  <c r="KO4" i="2"/>
  <c r="KO5" i="2" l="1"/>
  <c r="KP4" i="2"/>
  <c r="KP5" i="2" l="1"/>
  <c r="KQ4" i="2"/>
  <c r="KQ5" i="2" l="1"/>
  <c r="KR4" i="2"/>
  <c r="KR5" i="2" s="1"/>
  <c r="D7" i="2" s="1"/>
</calcChain>
</file>

<file path=xl/sharedStrings.xml><?xml version="1.0" encoding="utf-8"?>
<sst xmlns="http://schemas.openxmlformats.org/spreadsheetml/2006/main" count="22" uniqueCount="10">
  <si>
    <t>t</t>
  </si>
  <si>
    <t>CF</t>
  </si>
  <si>
    <t>r</t>
  </si>
  <si>
    <t>g</t>
  </si>
  <si>
    <t>PV(CF)</t>
  </si>
  <si>
    <t>…</t>
  </si>
  <si>
    <t>PV_0(CF)</t>
  </si>
  <si>
    <t>PV_12(CF)</t>
  </si>
  <si>
    <t>PV_11(Perp)</t>
  </si>
  <si>
    <t>PV_0(Perp)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</si>
</sst>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D36A-6B98-42C2-98AD-DDD7C6F9DC54}">
  <dimension ref="A1:R9"/>
  <sheetViews>
    <sheetView tabSelected="1" workbookViewId="0">
      <selection activeCell="G22" sqref="G22"/>
    </sheetView>
  </sheetViews>
  <sheetFormatPr defaultRowHeight="15" x14ac:dyDescent="0.25"/>
  <sheetData>
    <row r="1" spans="1:18" x14ac:dyDescent="0.25">
      <c r="A1" t="s">
        <v>2</v>
      </c>
      <c r="B1" s="1">
        <v>0.09</v>
      </c>
    </row>
    <row r="2" spans="1:18" x14ac:dyDescent="0.25">
      <c r="A2" t="s">
        <v>3</v>
      </c>
      <c r="B2" s="1">
        <v>0.03</v>
      </c>
    </row>
    <row r="3" spans="1:18" x14ac:dyDescent="0.25">
      <c r="C3" t="s">
        <v>0</v>
      </c>
      <c r="D3">
        <v>0</v>
      </c>
      <c r="E3">
        <f t="shared" ref="E3:Q3" si="0">+D3+1</f>
        <v>1</v>
      </c>
      <c r="F3">
        <f t="shared" si="0"/>
        <v>2</v>
      </c>
      <c r="G3">
        <f t="shared" si="0"/>
        <v>3</v>
      </c>
      <c r="H3">
        <f t="shared" si="0"/>
        <v>4</v>
      </c>
      <c r="I3">
        <f t="shared" si="0"/>
        <v>5</v>
      </c>
      <c r="J3">
        <f t="shared" si="0"/>
        <v>6</v>
      </c>
      <c r="K3">
        <f t="shared" si="0"/>
        <v>7</v>
      </c>
      <c r="L3">
        <f t="shared" si="0"/>
        <v>8</v>
      </c>
      <c r="M3">
        <f t="shared" si="0"/>
        <v>9</v>
      </c>
      <c r="N3">
        <f t="shared" si="0"/>
        <v>10</v>
      </c>
      <c r="O3">
        <f t="shared" si="0"/>
        <v>11</v>
      </c>
      <c r="P3">
        <f t="shared" si="0"/>
        <v>12</v>
      </c>
      <c r="Q3">
        <f t="shared" si="0"/>
        <v>13</v>
      </c>
      <c r="R3" t="s">
        <v>5</v>
      </c>
    </row>
    <row r="4" spans="1:18" x14ac:dyDescent="0.25">
      <c r="C4" t="s">
        <v>1</v>
      </c>
      <c r="D4">
        <v>-700</v>
      </c>
      <c r="E4">
        <v>-700</v>
      </c>
      <c r="F4">
        <v>0</v>
      </c>
      <c r="G4">
        <v>100</v>
      </c>
      <c r="H4">
        <v>100</v>
      </c>
      <c r="I4">
        <v>100</v>
      </c>
      <c r="J4">
        <v>120</v>
      </c>
      <c r="K4">
        <v>120</v>
      </c>
      <c r="L4">
        <v>120</v>
      </c>
      <c r="M4">
        <v>160</v>
      </c>
      <c r="N4">
        <v>160</v>
      </c>
      <c r="O4">
        <v>160</v>
      </c>
      <c r="P4">
        <f>+O4*(1+$B$2)</f>
        <v>164.8</v>
      </c>
      <c r="Q4">
        <f>+P4*(1+$B$2)</f>
        <v>169.74400000000003</v>
      </c>
      <c r="R4" t="s">
        <v>5</v>
      </c>
    </row>
    <row r="5" spans="1:18" x14ac:dyDescent="0.25">
      <c r="C5" t="s">
        <v>7</v>
      </c>
      <c r="P5">
        <f>+Q4/(B1-B2)+P4</f>
        <v>2993.8666666666672</v>
      </c>
    </row>
    <row r="6" spans="1:18" x14ac:dyDescent="0.25">
      <c r="C6" t="s">
        <v>6</v>
      </c>
      <c r="D6">
        <f t="shared" ref="D6:O6" si="1">+D4/((1+$B$1)^D3)</f>
        <v>-700</v>
      </c>
      <c r="E6">
        <f t="shared" si="1"/>
        <v>-642.20183486238523</v>
      </c>
      <c r="F6">
        <f t="shared" si="1"/>
        <v>0</v>
      </c>
      <c r="G6">
        <f t="shared" si="1"/>
        <v>77.21834800610641</v>
      </c>
      <c r="H6">
        <f t="shared" si="1"/>
        <v>70.842521106519641</v>
      </c>
      <c r="I6">
        <f t="shared" si="1"/>
        <v>64.993138629834533</v>
      </c>
      <c r="J6">
        <f t="shared" si="1"/>
        <v>71.552079225505892</v>
      </c>
      <c r="K6">
        <f t="shared" si="1"/>
        <v>65.644109381198078</v>
      </c>
      <c r="L6">
        <f t="shared" si="1"/>
        <v>60.22395356073217</v>
      </c>
      <c r="M6">
        <f t="shared" si="1"/>
        <v>73.668444722608157</v>
      </c>
      <c r="N6">
        <f t="shared" si="1"/>
        <v>67.585729103310229</v>
      </c>
      <c r="O6">
        <f t="shared" si="1"/>
        <v>62.005256058082779</v>
      </c>
      <c r="P6">
        <f>+P5/((1+$B$1)^P3)</f>
        <v>1064.4235623304212</v>
      </c>
    </row>
    <row r="7" spans="1:18" x14ac:dyDescent="0.25">
      <c r="D7">
        <f>+SUM(D6:P6)</f>
        <v>335.95530726193374</v>
      </c>
    </row>
    <row r="9" spans="1:18" x14ac:dyDescent="0.25">
      <c r="E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253B-9402-44E3-956E-98BBDABEBAEC}">
  <dimension ref="A1:KR7"/>
  <sheetViews>
    <sheetView workbookViewId="0"/>
  </sheetViews>
  <sheetFormatPr defaultRowHeight="15" x14ac:dyDescent="0.25"/>
  <sheetData>
    <row r="1" spans="1:304" x14ac:dyDescent="0.25">
      <c r="A1" t="s">
        <v>2</v>
      </c>
      <c r="B1" s="1">
        <v>0.09</v>
      </c>
    </row>
    <row r="2" spans="1:304" x14ac:dyDescent="0.25">
      <c r="A2" t="s">
        <v>3</v>
      </c>
      <c r="B2" s="1">
        <v>0.03</v>
      </c>
    </row>
    <row r="3" spans="1:304" x14ac:dyDescent="0.25">
      <c r="C3" t="s">
        <v>0</v>
      </c>
      <c r="D3">
        <v>0</v>
      </c>
      <c r="E3">
        <f t="shared" ref="E3:X3" si="0">+D3+1</f>
        <v>1</v>
      </c>
      <c r="F3">
        <f t="shared" si="0"/>
        <v>2</v>
      </c>
      <c r="G3">
        <f t="shared" si="0"/>
        <v>3</v>
      </c>
      <c r="H3">
        <f t="shared" si="0"/>
        <v>4</v>
      </c>
      <c r="I3">
        <f t="shared" si="0"/>
        <v>5</v>
      </c>
      <c r="J3">
        <f t="shared" si="0"/>
        <v>6</v>
      </c>
      <c r="K3">
        <f t="shared" si="0"/>
        <v>7</v>
      </c>
      <c r="L3">
        <f t="shared" si="0"/>
        <v>8</v>
      </c>
      <c r="M3">
        <f t="shared" si="0"/>
        <v>9</v>
      </c>
      <c r="N3">
        <f t="shared" si="0"/>
        <v>10</v>
      </c>
      <c r="O3">
        <f t="shared" si="0"/>
        <v>11</v>
      </c>
      <c r="P3">
        <f t="shared" si="0"/>
        <v>12</v>
      </c>
      <c r="Q3">
        <f t="shared" si="0"/>
        <v>13</v>
      </c>
      <c r="R3">
        <f t="shared" si="0"/>
        <v>14</v>
      </c>
      <c r="S3">
        <f t="shared" si="0"/>
        <v>15</v>
      </c>
      <c r="T3">
        <f t="shared" si="0"/>
        <v>16</v>
      </c>
      <c r="U3">
        <f t="shared" si="0"/>
        <v>17</v>
      </c>
      <c r="V3">
        <f t="shared" si="0"/>
        <v>18</v>
      </c>
      <c r="W3">
        <f t="shared" si="0"/>
        <v>19</v>
      </c>
      <c r="X3">
        <f t="shared" si="0"/>
        <v>20</v>
      </c>
      <c r="Y3">
        <f t="shared" ref="Y3:CJ3" si="1">+X3+1</f>
        <v>21</v>
      </c>
      <c r="Z3">
        <f t="shared" si="1"/>
        <v>22</v>
      </c>
      <c r="AA3">
        <f t="shared" si="1"/>
        <v>23</v>
      </c>
      <c r="AB3">
        <f t="shared" si="1"/>
        <v>24</v>
      </c>
      <c r="AC3">
        <f t="shared" si="1"/>
        <v>25</v>
      </c>
      <c r="AD3">
        <f t="shared" si="1"/>
        <v>26</v>
      </c>
      <c r="AE3">
        <f t="shared" si="1"/>
        <v>27</v>
      </c>
      <c r="AF3">
        <f t="shared" si="1"/>
        <v>28</v>
      </c>
      <c r="AG3">
        <f t="shared" si="1"/>
        <v>29</v>
      </c>
      <c r="AH3">
        <f t="shared" si="1"/>
        <v>30</v>
      </c>
      <c r="AI3">
        <f t="shared" si="1"/>
        <v>31</v>
      </c>
      <c r="AJ3">
        <f t="shared" si="1"/>
        <v>32</v>
      </c>
      <c r="AK3">
        <f t="shared" si="1"/>
        <v>33</v>
      </c>
      <c r="AL3">
        <f t="shared" si="1"/>
        <v>34</v>
      </c>
      <c r="AM3">
        <f t="shared" si="1"/>
        <v>35</v>
      </c>
      <c r="AN3">
        <f t="shared" si="1"/>
        <v>36</v>
      </c>
      <c r="AO3">
        <f t="shared" si="1"/>
        <v>37</v>
      </c>
      <c r="AP3">
        <f t="shared" si="1"/>
        <v>38</v>
      </c>
      <c r="AQ3">
        <f t="shared" si="1"/>
        <v>39</v>
      </c>
      <c r="AR3">
        <f t="shared" si="1"/>
        <v>40</v>
      </c>
      <c r="AS3">
        <f t="shared" si="1"/>
        <v>41</v>
      </c>
      <c r="AT3">
        <f t="shared" si="1"/>
        <v>42</v>
      </c>
      <c r="AU3">
        <f t="shared" si="1"/>
        <v>43</v>
      </c>
      <c r="AV3">
        <f t="shared" si="1"/>
        <v>44</v>
      </c>
      <c r="AW3">
        <f t="shared" si="1"/>
        <v>45</v>
      </c>
      <c r="AX3">
        <f t="shared" si="1"/>
        <v>46</v>
      </c>
      <c r="AY3">
        <f t="shared" si="1"/>
        <v>47</v>
      </c>
      <c r="AZ3">
        <f t="shared" si="1"/>
        <v>48</v>
      </c>
      <c r="BA3">
        <f t="shared" si="1"/>
        <v>49</v>
      </c>
      <c r="BB3">
        <f t="shared" si="1"/>
        <v>50</v>
      </c>
      <c r="BC3">
        <f t="shared" si="1"/>
        <v>51</v>
      </c>
      <c r="BD3">
        <f t="shared" si="1"/>
        <v>52</v>
      </c>
      <c r="BE3">
        <f t="shared" si="1"/>
        <v>53</v>
      </c>
      <c r="BF3">
        <f t="shared" si="1"/>
        <v>54</v>
      </c>
      <c r="BG3">
        <f t="shared" si="1"/>
        <v>55</v>
      </c>
      <c r="BH3">
        <f t="shared" si="1"/>
        <v>56</v>
      </c>
      <c r="BI3">
        <f t="shared" si="1"/>
        <v>57</v>
      </c>
      <c r="BJ3">
        <f t="shared" si="1"/>
        <v>58</v>
      </c>
      <c r="BK3">
        <f t="shared" si="1"/>
        <v>59</v>
      </c>
      <c r="BL3">
        <f t="shared" si="1"/>
        <v>60</v>
      </c>
      <c r="BM3">
        <f t="shared" si="1"/>
        <v>61</v>
      </c>
      <c r="BN3">
        <f t="shared" si="1"/>
        <v>62</v>
      </c>
      <c r="BO3">
        <f t="shared" si="1"/>
        <v>63</v>
      </c>
      <c r="BP3">
        <f t="shared" si="1"/>
        <v>64</v>
      </c>
      <c r="BQ3">
        <f t="shared" si="1"/>
        <v>65</v>
      </c>
      <c r="BR3">
        <f t="shared" si="1"/>
        <v>66</v>
      </c>
      <c r="BS3">
        <f t="shared" si="1"/>
        <v>67</v>
      </c>
      <c r="BT3">
        <f t="shared" si="1"/>
        <v>68</v>
      </c>
      <c r="BU3">
        <f t="shared" si="1"/>
        <v>69</v>
      </c>
      <c r="BV3">
        <f t="shared" si="1"/>
        <v>70</v>
      </c>
      <c r="BW3">
        <f t="shared" si="1"/>
        <v>71</v>
      </c>
      <c r="BX3">
        <f t="shared" si="1"/>
        <v>72</v>
      </c>
      <c r="BY3">
        <f t="shared" si="1"/>
        <v>73</v>
      </c>
      <c r="BZ3">
        <f t="shared" si="1"/>
        <v>74</v>
      </c>
      <c r="CA3">
        <f t="shared" si="1"/>
        <v>75</v>
      </c>
      <c r="CB3">
        <f t="shared" si="1"/>
        <v>76</v>
      </c>
      <c r="CC3">
        <f t="shared" si="1"/>
        <v>77</v>
      </c>
      <c r="CD3">
        <f t="shared" si="1"/>
        <v>78</v>
      </c>
      <c r="CE3">
        <f t="shared" si="1"/>
        <v>79</v>
      </c>
      <c r="CF3">
        <f t="shared" si="1"/>
        <v>80</v>
      </c>
      <c r="CG3">
        <f t="shared" si="1"/>
        <v>81</v>
      </c>
      <c r="CH3">
        <f t="shared" si="1"/>
        <v>82</v>
      </c>
      <c r="CI3">
        <f t="shared" si="1"/>
        <v>83</v>
      </c>
      <c r="CJ3">
        <f t="shared" si="1"/>
        <v>84</v>
      </c>
      <c r="CK3">
        <f t="shared" ref="CK3:EV3" si="2">+CJ3+1</f>
        <v>85</v>
      </c>
      <c r="CL3">
        <f t="shared" si="2"/>
        <v>86</v>
      </c>
      <c r="CM3">
        <f t="shared" si="2"/>
        <v>87</v>
      </c>
      <c r="CN3">
        <f t="shared" si="2"/>
        <v>88</v>
      </c>
      <c r="CO3">
        <f t="shared" si="2"/>
        <v>89</v>
      </c>
      <c r="CP3">
        <f t="shared" si="2"/>
        <v>90</v>
      </c>
      <c r="CQ3">
        <f t="shared" si="2"/>
        <v>91</v>
      </c>
      <c r="CR3">
        <f t="shared" si="2"/>
        <v>92</v>
      </c>
      <c r="CS3">
        <f t="shared" si="2"/>
        <v>93</v>
      </c>
      <c r="CT3">
        <f t="shared" si="2"/>
        <v>94</v>
      </c>
      <c r="CU3">
        <f t="shared" si="2"/>
        <v>95</v>
      </c>
      <c r="CV3">
        <f t="shared" si="2"/>
        <v>96</v>
      </c>
      <c r="CW3">
        <f t="shared" si="2"/>
        <v>97</v>
      </c>
      <c r="CX3">
        <f t="shared" si="2"/>
        <v>98</v>
      </c>
      <c r="CY3">
        <f t="shared" si="2"/>
        <v>99</v>
      </c>
      <c r="CZ3">
        <f t="shared" si="2"/>
        <v>100</v>
      </c>
      <c r="DA3">
        <f t="shared" si="2"/>
        <v>101</v>
      </c>
      <c r="DB3">
        <f t="shared" si="2"/>
        <v>102</v>
      </c>
      <c r="DC3">
        <f t="shared" si="2"/>
        <v>103</v>
      </c>
      <c r="DD3">
        <f t="shared" si="2"/>
        <v>104</v>
      </c>
      <c r="DE3">
        <f t="shared" si="2"/>
        <v>105</v>
      </c>
      <c r="DF3">
        <f t="shared" si="2"/>
        <v>106</v>
      </c>
      <c r="DG3">
        <f t="shared" si="2"/>
        <v>107</v>
      </c>
      <c r="DH3">
        <f t="shared" si="2"/>
        <v>108</v>
      </c>
      <c r="DI3">
        <f t="shared" si="2"/>
        <v>109</v>
      </c>
      <c r="DJ3">
        <f t="shared" si="2"/>
        <v>110</v>
      </c>
      <c r="DK3">
        <f t="shared" si="2"/>
        <v>111</v>
      </c>
      <c r="DL3">
        <f t="shared" si="2"/>
        <v>112</v>
      </c>
      <c r="DM3">
        <f t="shared" si="2"/>
        <v>113</v>
      </c>
      <c r="DN3">
        <f t="shared" si="2"/>
        <v>114</v>
      </c>
      <c r="DO3">
        <f t="shared" si="2"/>
        <v>115</v>
      </c>
      <c r="DP3">
        <f t="shared" si="2"/>
        <v>116</v>
      </c>
      <c r="DQ3">
        <f t="shared" si="2"/>
        <v>117</v>
      </c>
      <c r="DR3">
        <f t="shared" si="2"/>
        <v>118</v>
      </c>
      <c r="DS3">
        <f t="shared" si="2"/>
        <v>119</v>
      </c>
      <c r="DT3">
        <f t="shared" si="2"/>
        <v>120</v>
      </c>
      <c r="DU3">
        <f t="shared" si="2"/>
        <v>121</v>
      </c>
      <c r="DV3">
        <f t="shared" si="2"/>
        <v>122</v>
      </c>
      <c r="DW3">
        <f t="shared" si="2"/>
        <v>123</v>
      </c>
      <c r="DX3">
        <f t="shared" si="2"/>
        <v>124</v>
      </c>
      <c r="DY3">
        <f t="shared" si="2"/>
        <v>125</v>
      </c>
      <c r="DZ3">
        <f t="shared" si="2"/>
        <v>126</v>
      </c>
      <c r="EA3">
        <f t="shared" si="2"/>
        <v>127</v>
      </c>
      <c r="EB3">
        <f t="shared" si="2"/>
        <v>128</v>
      </c>
      <c r="EC3">
        <f t="shared" si="2"/>
        <v>129</v>
      </c>
      <c r="ED3">
        <f t="shared" si="2"/>
        <v>130</v>
      </c>
      <c r="EE3">
        <f t="shared" si="2"/>
        <v>131</v>
      </c>
      <c r="EF3">
        <f t="shared" si="2"/>
        <v>132</v>
      </c>
      <c r="EG3">
        <f t="shared" si="2"/>
        <v>133</v>
      </c>
      <c r="EH3">
        <f t="shared" si="2"/>
        <v>134</v>
      </c>
      <c r="EI3">
        <f t="shared" si="2"/>
        <v>135</v>
      </c>
      <c r="EJ3">
        <f t="shared" si="2"/>
        <v>136</v>
      </c>
      <c r="EK3">
        <f t="shared" si="2"/>
        <v>137</v>
      </c>
      <c r="EL3">
        <f t="shared" si="2"/>
        <v>138</v>
      </c>
      <c r="EM3">
        <f t="shared" si="2"/>
        <v>139</v>
      </c>
      <c r="EN3">
        <f t="shared" si="2"/>
        <v>140</v>
      </c>
      <c r="EO3">
        <f t="shared" si="2"/>
        <v>141</v>
      </c>
      <c r="EP3">
        <f t="shared" si="2"/>
        <v>142</v>
      </c>
      <c r="EQ3">
        <f t="shared" si="2"/>
        <v>143</v>
      </c>
      <c r="ER3">
        <f t="shared" si="2"/>
        <v>144</v>
      </c>
      <c r="ES3">
        <f t="shared" si="2"/>
        <v>145</v>
      </c>
      <c r="ET3">
        <f t="shared" si="2"/>
        <v>146</v>
      </c>
      <c r="EU3">
        <f t="shared" si="2"/>
        <v>147</v>
      </c>
      <c r="EV3">
        <f t="shared" si="2"/>
        <v>148</v>
      </c>
      <c r="EW3">
        <f t="shared" ref="EW3:HH3" si="3">+EV3+1</f>
        <v>149</v>
      </c>
      <c r="EX3">
        <f t="shared" si="3"/>
        <v>150</v>
      </c>
      <c r="EY3">
        <f t="shared" si="3"/>
        <v>151</v>
      </c>
      <c r="EZ3">
        <f t="shared" si="3"/>
        <v>152</v>
      </c>
      <c r="FA3">
        <f t="shared" si="3"/>
        <v>153</v>
      </c>
      <c r="FB3">
        <f t="shared" si="3"/>
        <v>154</v>
      </c>
      <c r="FC3">
        <f t="shared" si="3"/>
        <v>155</v>
      </c>
      <c r="FD3">
        <f t="shared" si="3"/>
        <v>156</v>
      </c>
      <c r="FE3">
        <f t="shared" si="3"/>
        <v>157</v>
      </c>
      <c r="FF3">
        <f t="shared" si="3"/>
        <v>158</v>
      </c>
      <c r="FG3">
        <f t="shared" si="3"/>
        <v>159</v>
      </c>
      <c r="FH3">
        <f t="shared" si="3"/>
        <v>160</v>
      </c>
      <c r="FI3">
        <f t="shared" si="3"/>
        <v>161</v>
      </c>
      <c r="FJ3">
        <f t="shared" si="3"/>
        <v>162</v>
      </c>
      <c r="FK3">
        <f t="shared" si="3"/>
        <v>163</v>
      </c>
      <c r="FL3">
        <f t="shared" si="3"/>
        <v>164</v>
      </c>
      <c r="FM3">
        <f t="shared" si="3"/>
        <v>165</v>
      </c>
      <c r="FN3">
        <f t="shared" si="3"/>
        <v>166</v>
      </c>
      <c r="FO3">
        <f t="shared" si="3"/>
        <v>167</v>
      </c>
      <c r="FP3">
        <f t="shared" si="3"/>
        <v>168</v>
      </c>
      <c r="FQ3">
        <f t="shared" si="3"/>
        <v>169</v>
      </c>
      <c r="FR3">
        <f t="shared" si="3"/>
        <v>170</v>
      </c>
      <c r="FS3">
        <f t="shared" si="3"/>
        <v>171</v>
      </c>
      <c r="FT3">
        <f t="shared" si="3"/>
        <v>172</v>
      </c>
      <c r="FU3">
        <f t="shared" si="3"/>
        <v>173</v>
      </c>
      <c r="FV3">
        <f t="shared" si="3"/>
        <v>174</v>
      </c>
      <c r="FW3">
        <f t="shared" si="3"/>
        <v>175</v>
      </c>
      <c r="FX3">
        <f t="shared" si="3"/>
        <v>176</v>
      </c>
      <c r="FY3">
        <f t="shared" si="3"/>
        <v>177</v>
      </c>
      <c r="FZ3">
        <f t="shared" si="3"/>
        <v>178</v>
      </c>
      <c r="GA3">
        <f t="shared" si="3"/>
        <v>179</v>
      </c>
      <c r="GB3">
        <f t="shared" si="3"/>
        <v>180</v>
      </c>
      <c r="GC3">
        <f t="shared" si="3"/>
        <v>181</v>
      </c>
      <c r="GD3">
        <f t="shared" si="3"/>
        <v>182</v>
      </c>
      <c r="GE3">
        <f t="shared" si="3"/>
        <v>183</v>
      </c>
      <c r="GF3">
        <f t="shared" si="3"/>
        <v>184</v>
      </c>
      <c r="GG3">
        <f t="shared" si="3"/>
        <v>185</v>
      </c>
      <c r="GH3">
        <f t="shared" si="3"/>
        <v>186</v>
      </c>
      <c r="GI3">
        <f t="shared" si="3"/>
        <v>187</v>
      </c>
      <c r="GJ3">
        <f t="shared" si="3"/>
        <v>188</v>
      </c>
      <c r="GK3">
        <f t="shared" si="3"/>
        <v>189</v>
      </c>
      <c r="GL3">
        <f t="shared" si="3"/>
        <v>190</v>
      </c>
      <c r="GM3">
        <f t="shared" si="3"/>
        <v>191</v>
      </c>
      <c r="GN3">
        <f t="shared" si="3"/>
        <v>192</v>
      </c>
      <c r="GO3">
        <f t="shared" si="3"/>
        <v>193</v>
      </c>
      <c r="GP3">
        <f t="shared" si="3"/>
        <v>194</v>
      </c>
      <c r="GQ3">
        <f t="shared" si="3"/>
        <v>195</v>
      </c>
      <c r="GR3">
        <f t="shared" si="3"/>
        <v>196</v>
      </c>
      <c r="GS3">
        <f t="shared" si="3"/>
        <v>197</v>
      </c>
      <c r="GT3">
        <f t="shared" si="3"/>
        <v>198</v>
      </c>
      <c r="GU3">
        <f t="shared" si="3"/>
        <v>199</v>
      </c>
      <c r="GV3">
        <f t="shared" si="3"/>
        <v>200</v>
      </c>
      <c r="GW3">
        <f t="shared" si="3"/>
        <v>201</v>
      </c>
      <c r="GX3">
        <f t="shared" si="3"/>
        <v>202</v>
      </c>
      <c r="GY3">
        <f t="shared" si="3"/>
        <v>203</v>
      </c>
      <c r="GZ3">
        <f t="shared" si="3"/>
        <v>204</v>
      </c>
      <c r="HA3">
        <f t="shared" si="3"/>
        <v>205</v>
      </c>
      <c r="HB3">
        <f t="shared" si="3"/>
        <v>206</v>
      </c>
      <c r="HC3">
        <f t="shared" si="3"/>
        <v>207</v>
      </c>
      <c r="HD3">
        <f t="shared" si="3"/>
        <v>208</v>
      </c>
      <c r="HE3">
        <f t="shared" si="3"/>
        <v>209</v>
      </c>
      <c r="HF3">
        <f t="shared" si="3"/>
        <v>210</v>
      </c>
      <c r="HG3">
        <f t="shared" si="3"/>
        <v>211</v>
      </c>
      <c r="HH3">
        <f t="shared" si="3"/>
        <v>212</v>
      </c>
      <c r="HI3">
        <f t="shared" ref="HI3:HK3" si="4">+HH3+1</f>
        <v>213</v>
      </c>
      <c r="HJ3">
        <f t="shared" si="4"/>
        <v>214</v>
      </c>
      <c r="HK3">
        <f t="shared" si="4"/>
        <v>215</v>
      </c>
      <c r="HL3">
        <f t="shared" ref="HL3:JW3" si="5">+HK3+1</f>
        <v>216</v>
      </c>
      <c r="HM3">
        <f t="shared" si="5"/>
        <v>217</v>
      </c>
      <c r="HN3">
        <f t="shared" si="5"/>
        <v>218</v>
      </c>
      <c r="HO3">
        <f t="shared" si="5"/>
        <v>219</v>
      </c>
      <c r="HP3">
        <f t="shared" si="5"/>
        <v>220</v>
      </c>
      <c r="HQ3">
        <f t="shared" si="5"/>
        <v>221</v>
      </c>
      <c r="HR3">
        <f t="shared" si="5"/>
        <v>222</v>
      </c>
      <c r="HS3">
        <f t="shared" si="5"/>
        <v>223</v>
      </c>
      <c r="HT3">
        <f t="shared" si="5"/>
        <v>224</v>
      </c>
      <c r="HU3">
        <f t="shared" si="5"/>
        <v>225</v>
      </c>
      <c r="HV3">
        <f t="shared" si="5"/>
        <v>226</v>
      </c>
      <c r="HW3">
        <f t="shared" si="5"/>
        <v>227</v>
      </c>
      <c r="HX3">
        <f t="shared" si="5"/>
        <v>228</v>
      </c>
      <c r="HY3">
        <f t="shared" si="5"/>
        <v>229</v>
      </c>
      <c r="HZ3">
        <f t="shared" si="5"/>
        <v>230</v>
      </c>
      <c r="IA3">
        <f t="shared" si="5"/>
        <v>231</v>
      </c>
      <c r="IB3">
        <f t="shared" si="5"/>
        <v>232</v>
      </c>
      <c r="IC3">
        <f t="shared" si="5"/>
        <v>233</v>
      </c>
      <c r="ID3">
        <f t="shared" si="5"/>
        <v>234</v>
      </c>
      <c r="IE3">
        <f t="shared" si="5"/>
        <v>235</v>
      </c>
      <c r="IF3">
        <f t="shared" si="5"/>
        <v>236</v>
      </c>
      <c r="IG3">
        <f t="shared" si="5"/>
        <v>237</v>
      </c>
      <c r="IH3">
        <f t="shared" si="5"/>
        <v>238</v>
      </c>
      <c r="II3">
        <f t="shared" si="5"/>
        <v>239</v>
      </c>
      <c r="IJ3">
        <f t="shared" si="5"/>
        <v>240</v>
      </c>
      <c r="IK3">
        <f t="shared" si="5"/>
        <v>241</v>
      </c>
      <c r="IL3">
        <f t="shared" si="5"/>
        <v>242</v>
      </c>
      <c r="IM3">
        <f t="shared" si="5"/>
        <v>243</v>
      </c>
      <c r="IN3">
        <f t="shared" si="5"/>
        <v>244</v>
      </c>
      <c r="IO3">
        <f t="shared" si="5"/>
        <v>245</v>
      </c>
      <c r="IP3">
        <f t="shared" si="5"/>
        <v>246</v>
      </c>
      <c r="IQ3">
        <f t="shared" si="5"/>
        <v>247</v>
      </c>
      <c r="IR3">
        <f t="shared" si="5"/>
        <v>248</v>
      </c>
      <c r="IS3">
        <f t="shared" si="5"/>
        <v>249</v>
      </c>
      <c r="IT3">
        <f t="shared" si="5"/>
        <v>250</v>
      </c>
      <c r="IU3">
        <f t="shared" si="5"/>
        <v>251</v>
      </c>
      <c r="IV3">
        <f t="shared" si="5"/>
        <v>252</v>
      </c>
      <c r="IW3">
        <f t="shared" si="5"/>
        <v>253</v>
      </c>
      <c r="IX3">
        <f t="shared" si="5"/>
        <v>254</v>
      </c>
      <c r="IY3">
        <f t="shared" si="5"/>
        <v>255</v>
      </c>
      <c r="IZ3">
        <f t="shared" si="5"/>
        <v>256</v>
      </c>
      <c r="JA3">
        <f t="shared" si="5"/>
        <v>257</v>
      </c>
      <c r="JB3">
        <f t="shared" si="5"/>
        <v>258</v>
      </c>
      <c r="JC3">
        <f t="shared" si="5"/>
        <v>259</v>
      </c>
      <c r="JD3">
        <f t="shared" si="5"/>
        <v>260</v>
      </c>
      <c r="JE3">
        <f t="shared" si="5"/>
        <v>261</v>
      </c>
      <c r="JF3">
        <f t="shared" si="5"/>
        <v>262</v>
      </c>
      <c r="JG3">
        <f t="shared" si="5"/>
        <v>263</v>
      </c>
      <c r="JH3">
        <f t="shared" si="5"/>
        <v>264</v>
      </c>
      <c r="JI3">
        <f t="shared" si="5"/>
        <v>265</v>
      </c>
      <c r="JJ3">
        <f t="shared" si="5"/>
        <v>266</v>
      </c>
      <c r="JK3">
        <f t="shared" si="5"/>
        <v>267</v>
      </c>
      <c r="JL3">
        <f t="shared" si="5"/>
        <v>268</v>
      </c>
      <c r="JM3">
        <f t="shared" si="5"/>
        <v>269</v>
      </c>
      <c r="JN3">
        <f t="shared" si="5"/>
        <v>270</v>
      </c>
      <c r="JO3">
        <f t="shared" si="5"/>
        <v>271</v>
      </c>
      <c r="JP3">
        <f t="shared" si="5"/>
        <v>272</v>
      </c>
      <c r="JQ3">
        <f t="shared" si="5"/>
        <v>273</v>
      </c>
      <c r="JR3">
        <f t="shared" si="5"/>
        <v>274</v>
      </c>
      <c r="JS3">
        <f t="shared" si="5"/>
        <v>275</v>
      </c>
      <c r="JT3">
        <f t="shared" si="5"/>
        <v>276</v>
      </c>
      <c r="JU3">
        <f t="shared" si="5"/>
        <v>277</v>
      </c>
      <c r="JV3">
        <f t="shared" si="5"/>
        <v>278</v>
      </c>
      <c r="JW3">
        <f t="shared" si="5"/>
        <v>279</v>
      </c>
      <c r="JX3">
        <f t="shared" ref="JX3:KO3" si="6">+JW3+1</f>
        <v>280</v>
      </c>
      <c r="JY3">
        <f t="shared" si="6"/>
        <v>281</v>
      </c>
      <c r="JZ3">
        <f t="shared" si="6"/>
        <v>282</v>
      </c>
      <c r="KA3">
        <f t="shared" si="6"/>
        <v>283</v>
      </c>
      <c r="KB3">
        <f t="shared" si="6"/>
        <v>284</v>
      </c>
      <c r="KC3">
        <f t="shared" si="6"/>
        <v>285</v>
      </c>
      <c r="KD3">
        <f t="shared" si="6"/>
        <v>286</v>
      </c>
      <c r="KE3">
        <f t="shared" si="6"/>
        <v>287</v>
      </c>
      <c r="KF3">
        <f t="shared" si="6"/>
        <v>288</v>
      </c>
      <c r="KG3">
        <f t="shared" si="6"/>
        <v>289</v>
      </c>
      <c r="KH3">
        <f t="shared" si="6"/>
        <v>290</v>
      </c>
      <c r="KI3">
        <f t="shared" si="6"/>
        <v>291</v>
      </c>
      <c r="KJ3">
        <f t="shared" si="6"/>
        <v>292</v>
      </c>
      <c r="KK3">
        <f t="shared" si="6"/>
        <v>293</v>
      </c>
      <c r="KL3">
        <f t="shared" si="6"/>
        <v>294</v>
      </c>
      <c r="KM3">
        <f t="shared" si="6"/>
        <v>295</v>
      </c>
      <c r="KN3">
        <f t="shared" si="6"/>
        <v>296</v>
      </c>
      <c r="KO3">
        <f t="shared" si="6"/>
        <v>297</v>
      </c>
      <c r="KP3">
        <f t="shared" ref="KP3:KR3" si="7">+KO3+1</f>
        <v>298</v>
      </c>
      <c r="KQ3">
        <f t="shared" si="7"/>
        <v>299</v>
      </c>
      <c r="KR3">
        <f t="shared" si="7"/>
        <v>300</v>
      </c>
    </row>
    <row r="4" spans="1:304" x14ac:dyDescent="0.25">
      <c r="C4" t="s">
        <v>1</v>
      </c>
      <c r="D4">
        <v>-700</v>
      </c>
      <c r="E4">
        <v>-700</v>
      </c>
      <c r="F4">
        <v>0</v>
      </c>
      <c r="G4">
        <v>100</v>
      </c>
      <c r="H4">
        <v>100</v>
      </c>
      <c r="I4">
        <v>100</v>
      </c>
      <c r="J4">
        <v>120</v>
      </c>
      <c r="K4">
        <v>120</v>
      </c>
      <c r="L4">
        <v>120</v>
      </c>
      <c r="M4">
        <v>160</v>
      </c>
      <c r="N4">
        <v>160</v>
      </c>
      <c r="O4">
        <v>160</v>
      </c>
      <c r="P4">
        <f t="shared" ref="P4:X4" si="8">+O4*(1+$B$2)</f>
        <v>164.8</v>
      </c>
      <c r="Q4">
        <f t="shared" si="8"/>
        <v>169.74400000000003</v>
      </c>
      <c r="R4">
        <f t="shared" si="8"/>
        <v>174.83632000000003</v>
      </c>
      <c r="S4">
        <f t="shared" si="8"/>
        <v>180.08140960000003</v>
      </c>
      <c r="T4">
        <f t="shared" si="8"/>
        <v>185.48385188800003</v>
      </c>
      <c r="U4">
        <f t="shared" si="8"/>
        <v>191.04836744464004</v>
      </c>
      <c r="V4">
        <f t="shared" si="8"/>
        <v>196.77981846797925</v>
      </c>
      <c r="W4">
        <f t="shared" si="8"/>
        <v>202.68321302201863</v>
      </c>
      <c r="X4">
        <f t="shared" si="8"/>
        <v>208.76370941267919</v>
      </c>
      <c r="Y4">
        <f t="shared" ref="Y4:CJ4" si="9">+X4*(1+$B$2)</f>
        <v>215.02662069505956</v>
      </c>
      <c r="Z4">
        <f t="shared" si="9"/>
        <v>221.47741931591136</v>
      </c>
      <c r="AA4">
        <f t="shared" si="9"/>
        <v>228.12174189538871</v>
      </c>
      <c r="AB4">
        <f t="shared" si="9"/>
        <v>234.96539415225038</v>
      </c>
      <c r="AC4">
        <f t="shared" si="9"/>
        <v>242.01435597681791</v>
      </c>
      <c r="AD4">
        <f t="shared" si="9"/>
        <v>249.27478665612244</v>
      </c>
      <c r="AE4">
        <f t="shared" si="9"/>
        <v>256.75303025580615</v>
      </c>
      <c r="AF4">
        <f t="shared" si="9"/>
        <v>264.45562116348032</v>
      </c>
      <c r="AG4">
        <f t="shared" si="9"/>
        <v>272.38928979838471</v>
      </c>
      <c r="AH4">
        <f t="shared" si="9"/>
        <v>280.56096849233626</v>
      </c>
      <c r="AI4">
        <f t="shared" si="9"/>
        <v>288.97779754710638</v>
      </c>
      <c r="AJ4">
        <f t="shared" si="9"/>
        <v>297.64713147351955</v>
      </c>
      <c r="AK4">
        <f t="shared" si="9"/>
        <v>306.57654541772513</v>
      </c>
      <c r="AL4">
        <f t="shared" si="9"/>
        <v>315.77384178025687</v>
      </c>
      <c r="AM4">
        <f t="shared" si="9"/>
        <v>325.24705703366459</v>
      </c>
      <c r="AN4">
        <f t="shared" si="9"/>
        <v>335.00446874467451</v>
      </c>
      <c r="AO4">
        <f t="shared" si="9"/>
        <v>345.05460280701476</v>
      </c>
      <c r="AP4">
        <f t="shared" si="9"/>
        <v>355.4062408912252</v>
      </c>
      <c r="AQ4">
        <f t="shared" si="9"/>
        <v>366.06842811796196</v>
      </c>
      <c r="AR4">
        <f t="shared" si="9"/>
        <v>377.05048096150085</v>
      </c>
      <c r="AS4">
        <f t="shared" si="9"/>
        <v>388.3619953903459</v>
      </c>
      <c r="AT4">
        <f t="shared" si="9"/>
        <v>400.01285525205628</v>
      </c>
      <c r="AU4">
        <f t="shared" si="9"/>
        <v>412.01324090961799</v>
      </c>
      <c r="AV4">
        <f t="shared" si="9"/>
        <v>424.37363813690655</v>
      </c>
      <c r="AW4">
        <f t="shared" si="9"/>
        <v>437.10484728101375</v>
      </c>
      <c r="AX4">
        <f t="shared" si="9"/>
        <v>450.21799269944415</v>
      </c>
      <c r="AY4">
        <f t="shared" si="9"/>
        <v>463.72453248042751</v>
      </c>
      <c r="AZ4">
        <f t="shared" si="9"/>
        <v>477.63626845484038</v>
      </c>
      <c r="BA4">
        <f t="shared" si="9"/>
        <v>491.96535650848563</v>
      </c>
      <c r="BB4">
        <f t="shared" si="9"/>
        <v>506.72431720374021</v>
      </c>
      <c r="BC4">
        <f t="shared" si="9"/>
        <v>521.92604671985248</v>
      </c>
      <c r="BD4">
        <f t="shared" si="9"/>
        <v>537.58382812144805</v>
      </c>
      <c r="BE4">
        <f t="shared" si="9"/>
        <v>553.71134296509149</v>
      </c>
      <c r="BF4">
        <f t="shared" si="9"/>
        <v>570.32268325404425</v>
      </c>
      <c r="BG4">
        <f t="shared" si="9"/>
        <v>587.43236375166555</v>
      </c>
      <c r="BH4">
        <f t="shared" si="9"/>
        <v>605.05533466421548</v>
      </c>
      <c r="BI4">
        <f t="shared" si="9"/>
        <v>623.20699470414195</v>
      </c>
      <c r="BJ4">
        <f t="shared" si="9"/>
        <v>641.90320454526625</v>
      </c>
      <c r="BK4">
        <f t="shared" si="9"/>
        <v>661.16030068162422</v>
      </c>
      <c r="BL4">
        <f t="shared" si="9"/>
        <v>680.99510970207291</v>
      </c>
      <c r="BM4">
        <f t="shared" si="9"/>
        <v>701.42496299313507</v>
      </c>
      <c r="BN4">
        <f t="shared" si="9"/>
        <v>722.46771188292917</v>
      </c>
      <c r="BO4">
        <f t="shared" si="9"/>
        <v>744.14174323941711</v>
      </c>
      <c r="BP4">
        <f t="shared" si="9"/>
        <v>766.46599553659962</v>
      </c>
      <c r="BQ4">
        <f t="shared" si="9"/>
        <v>789.45997540269764</v>
      </c>
      <c r="BR4">
        <f t="shared" si="9"/>
        <v>813.14377466477856</v>
      </c>
      <c r="BS4">
        <f t="shared" si="9"/>
        <v>837.53808790472192</v>
      </c>
      <c r="BT4">
        <f t="shared" si="9"/>
        <v>862.66423054186362</v>
      </c>
      <c r="BU4">
        <f t="shared" si="9"/>
        <v>888.54415745811957</v>
      </c>
      <c r="BV4">
        <f t="shared" si="9"/>
        <v>915.20048218186321</v>
      </c>
      <c r="BW4">
        <f t="shared" si="9"/>
        <v>942.65649664731916</v>
      </c>
      <c r="BX4">
        <f t="shared" si="9"/>
        <v>970.93619154673877</v>
      </c>
      <c r="BY4">
        <f t="shared" si="9"/>
        <v>1000.064277293141</v>
      </c>
      <c r="BZ4">
        <f t="shared" si="9"/>
        <v>1030.0662056119352</v>
      </c>
      <c r="CA4">
        <f t="shared" si="9"/>
        <v>1060.9681917802932</v>
      </c>
      <c r="CB4">
        <f t="shared" si="9"/>
        <v>1092.7972375337019</v>
      </c>
      <c r="CC4">
        <f t="shared" si="9"/>
        <v>1125.5811546597131</v>
      </c>
      <c r="CD4">
        <f t="shared" si="9"/>
        <v>1159.3485892995045</v>
      </c>
      <c r="CE4">
        <f t="shared" si="9"/>
        <v>1194.1290469784897</v>
      </c>
      <c r="CF4">
        <f t="shared" si="9"/>
        <v>1229.9529183878444</v>
      </c>
      <c r="CG4">
        <f t="shared" si="9"/>
        <v>1266.8515059394797</v>
      </c>
      <c r="CH4">
        <f t="shared" si="9"/>
        <v>1304.857051117664</v>
      </c>
      <c r="CI4">
        <f t="shared" si="9"/>
        <v>1344.002762651194</v>
      </c>
      <c r="CJ4">
        <f t="shared" si="9"/>
        <v>1384.3228455307299</v>
      </c>
      <c r="CK4">
        <f t="shared" ref="CK4:EV4" si="10">+CJ4*(1+$B$2)</f>
        <v>1425.8525308966518</v>
      </c>
      <c r="CL4">
        <f t="shared" si="10"/>
        <v>1468.6281068235514</v>
      </c>
      <c r="CM4">
        <f t="shared" si="10"/>
        <v>1512.686950028258</v>
      </c>
      <c r="CN4">
        <f t="shared" si="10"/>
        <v>1558.0675585291058</v>
      </c>
      <c r="CO4">
        <f t="shared" si="10"/>
        <v>1604.809585284979</v>
      </c>
      <c r="CP4">
        <f t="shared" si="10"/>
        <v>1652.9538728435284</v>
      </c>
      <c r="CQ4">
        <f t="shared" si="10"/>
        <v>1702.5424890288343</v>
      </c>
      <c r="CR4">
        <f t="shared" si="10"/>
        <v>1753.6187636996995</v>
      </c>
      <c r="CS4">
        <f t="shared" si="10"/>
        <v>1806.2273266106904</v>
      </c>
      <c r="CT4">
        <f t="shared" si="10"/>
        <v>1860.4141464090112</v>
      </c>
      <c r="CU4">
        <f t="shared" si="10"/>
        <v>1916.2265708012817</v>
      </c>
      <c r="CV4">
        <f t="shared" si="10"/>
        <v>1973.7133679253202</v>
      </c>
      <c r="CW4">
        <f t="shared" si="10"/>
        <v>2032.9247689630799</v>
      </c>
      <c r="CX4">
        <f t="shared" si="10"/>
        <v>2093.9125120319723</v>
      </c>
      <c r="CY4">
        <f t="shared" si="10"/>
        <v>2156.7298873929317</v>
      </c>
      <c r="CZ4">
        <f t="shared" si="10"/>
        <v>2221.4317840147196</v>
      </c>
      <c r="DA4">
        <f t="shared" si="10"/>
        <v>2288.0747375351611</v>
      </c>
      <c r="DB4">
        <f t="shared" si="10"/>
        <v>2356.7169796612161</v>
      </c>
      <c r="DC4">
        <f t="shared" si="10"/>
        <v>2427.4184890510528</v>
      </c>
      <c r="DD4">
        <f t="shared" si="10"/>
        <v>2500.2410437225844</v>
      </c>
      <c r="DE4">
        <f t="shared" si="10"/>
        <v>2575.248275034262</v>
      </c>
      <c r="DF4">
        <f t="shared" si="10"/>
        <v>2652.5057232852901</v>
      </c>
      <c r="DG4">
        <f t="shared" si="10"/>
        <v>2732.0808949838488</v>
      </c>
      <c r="DH4">
        <f t="shared" si="10"/>
        <v>2814.0433218333642</v>
      </c>
      <c r="DI4">
        <f t="shared" si="10"/>
        <v>2898.4646214883651</v>
      </c>
      <c r="DJ4">
        <f t="shared" si="10"/>
        <v>2985.4185601330159</v>
      </c>
      <c r="DK4">
        <f t="shared" si="10"/>
        <v>3074.9811169370064</v>
      </c>
      <c r="DL4">
        <f t="shared" si="10"/>
        <v>3167.2305504451165</v>
      </c>
      <c r="DM4">
        <f t="shared" si="10"/>
        <v>3262.2474669584699</v>
      </c>
      <c r="DN4">
        <f t="shared" si="10"/>
        <v>3360.1148909672243</v>
      </c>
      <c r="DO4">
        <f t="shared" si="10"/>
        <v>3460.918337696241</v>
      </c>
      <c r="DP4">
        <f t="shared" si="10"/>
        <v>3564.7458878271282</v>
      </c>
      <c r="DQ4">
        <f t="shared" si="10"/>
        <v>3671.6882644619423</v>
      </c>
      <c r="DR4">
        <f t="shared" si="10"/>
        <v>3781.8389123958004</v>
      </c>
      <c r="DS4">
        <f t="shared" si="10"/>
        <v>3895.2940797676747</v>
      </c>
      <c r="DT4">
        <f t="shared" si="10"/>
        <v>4012.1529021607053</v>
      </c>
      <c r="DU4">
        <f t="shared" si="10"/>
        <v>4132.5174892255263</v>
      </c>
      <c r="DV4">
        <f t="shared" si="10"/>
        <v>4256.4930139022927</v>
      </c>
      <c r="DW4">
        <f t="shared" si="10"/>
        <v>4384.1878043193619</v>
      </c>
      <c r="DX4">
        <f t="shared" si="10"/>
        <v>4515.7134384489427</v>
      </c>
      <c r="DY4">
        <f t="shared" si="10"/>
        <v>4651.1848416024113</v>
      </c>
      <c r="DZ4">
        <f t="shared" si="10"/>
        <v>4790.7203868504839</v>
      </c>
      <c r="EA4">
        <f t="shared" si="10"/>
        <v>4934.4419984559981</v>
      </c>
      <c r="EB4">
        <f t="shared" si="10"/>
        <v>5082.4752584096786</v>
      </c>
      <c r="EC4">
        <f t="shared" si="10"/>
        <v>5234.9495161619689</v>
      </c>
      <c r="ED4">
        <f t="shared" si="10"/>
        <v>5391.998001646828</v>
      </c>
      <c r="EE4">
        <f t="shared" si="10"/>
        <v>5553.7579416962326</v>
      </c>
      <c r="EF4">
        <f t="shared" si="10"/>
        <v>5720.3706799471202</v>
      </c>
      <c r="EG4">
        <f t="shared" si="10"/>
        <v>5891.9818003455339</v>
      </c>
      <c r="EH4">
        <f t="shared" si="10"/>
        <v>6068.7412543559003</v>
      </c>
      <c r="EI4">
        <f t="shared" si="10"/>
        <v>6250.8034919865777</v>
      </c>
      <c r="EJ4">
        <f t="shared" si="10"/>
        <v>6438.327596746175</v>
      </c>
      <c r="EK4">
        <f t="shared" si="10"/>
        <v>6631.4774246485604</v>
      </c>
      <c r="EL4">
        <f t="shared" si="10"/>
        <v>6830.4217473880171</v>
      </c>
      <c r="EM4">
        <f t="shared" si="10"/>
        <v>7035.334399809658</v>
      </c>
      <c r="EN4">
        <f t="shared" si="10"/>
        <v>7246.3944318039476</v>
      </c>
      <c r="EO4">
        <f t="shared" si="10"/>
        <v>7463.786264758066</v>
      </c>
      <c r="EP4">
        <f t="shared" si="10"/>
        <v>7687.6998527008082</v>
      </c>
      <c r="EQ4">
        <f t="shared" si="10"/>
        <v>7918.3308482818329</v>
      </c>
      <c r="ER4">
        <f t="shared" si="10"/>
        <v>8155.8807737302877</v>
      </c>
      <c r="ES4">
        <f t="shared" si="10"/>
        <v>8400.5571969421962</v>
      </c>
      <c r="ET4">
        <f t="shared" si="10"/>
        <v>8652.5739128504629</v>
      </c>
      <c r="EU4">
        <f t="shared" si="10"/>
        <v>8912.1511302359777</v>
      </c>
      <c r="EV4">
        <f t="shared" si="10"/>
        <v>9179.5156641430567</v>
      </c>
      <c r="EW4">
        <f t="shared" ref="EW4:HH4" si="11">+EV4*(1+$B$2)</f>
        <v>9454.9011340673478</v>
      </c>
      <c r="EX4">
        <f t="shared" si="11"/>
        <v>9738.5481680893681</v>
      </c>
      <c r="EY4">
        <f t="shared" si="11"/>
        <v>10030.704613132049</v>
      </c>
      <c r="EZ4">
        <f t="shared" si="11"/>
        <v>10331.625751526011</v>
      </c>
      <c r="FA4">
        <f t="shared" si="11"/>
        <v>10641.574524071792</v>
      </c>
      <c r="FB4">
        <f t="shared" si="11"/>
        <v>10960.821759793946</v>
      </c>
      <c r="FC4">
        <f t="shared" si="11"/>
        <v>11289.646412587765</v>
      </c>
      <c r="FD4">
        <f t="shared" si="11"/>
        <v>11628.335804965398</v>
      </c>
      <c r="FE4">
        <f t="shared" si="11"/>
        <v>11977.18587911436</v>
      </c>
      <c r="FF4">
        <f t="shared" si="11"/>
        <v>12336.501455487791</v>
      </c>
      <c r="FG4">
        <f t="shared" si="11"/>
        <v>12706.596499152425</v>
      </c>
      <c r="FH4">
        <f t="shared" si="11"/>
        <v>13087.794394126999</v>
      </c>
      <c r="FI4">
        <f t="shared" si="11"/>
        <v>13480.428225950809</v>
      </c>
      <c r="FJ4">
        <f t="shared" si="11"/>
        <v>13884.841072729334</v>
      </c>
      <c r="FK4">
        <f t="shared" si="11"/>
        <v>14301.386304911215</v>
      </c>
      <c r="FL4">
        <f t="shared" si="11"/>
        <v>14730.427894058552</v>
      </c>
      <c r="FM4">
        <f t="shared" si="11"/>
        <v>15172.340730880309</v>
      </c>
      <c r="FN4">
        <f t="shared" si="11"/>
        <v>15627.510952806719</v>
      </c>
      <c r="FO4">
        <f t="shared" si="11"/>
        <v>16096.336281390921</v>
      </c>
      <c r="FP4">
        <f t="shared" si="11"/>
        <v>16579.22636983265</v>
      </c>
      <c r="FQ4">
        <f t="shared" si="11"/>
        <v>17076.603160927629</v>
      </c>
      <c r="FR4">
        <f t="shared" si="11"/>
        <v>17588.90125575546</v>
      </c>
      <c r="FS4">
        <f t="shared" si="11"/>
        <v>18116.568293428125</v>
      </c>
      <c r="FT4">
        <f t="shared" si="11"/>
        <v>18660.06534223097</v>
      </c>
      <c r="FU4">
        <f t="shared" si="11"/>
        <v>19219.8673024979</v>
      </c>
      <c r="FV4">
        <f t="shared" si="11"/>
        <v>19796.463321572839</v>
      </c>
      <c r="FW4">
        <f t="shared" si="11"/>
        <v>20390.357221220023</v>
      </c>
      <c r="FX4">
        <f t="shared" si="11"/>
        <v>21002.067937856624</v>
      </c>
      <c r="FY4">
        <f t="shared" si="11"/>
        <v>21632.129975992324</v>
      </c>
      <c r="FZ4">
        <f t="shared" si="11"/>
        <v>22281.093875272094</v>
      </c>
      <c r="GA4">
        <f t="shared" si="11"/>
        <v>22949.526691530256</v>
      </c>
      <c r="GB4">
        <f t="shared" si="11"/>
        <v>23638.012492276164</v>
      </c>
      <c r="GC4">
        <f t="shared" si="11"/>
        <v>24347.15286704445</v>
      </c>
      <c r="GD4">
        <f t="shared" si="11"/>
        <v>25077.567453055784</v>
      </c>
      <c r="GE4">
        <f t="shared" si="11"/>
        <v>25829.89447664746</v>
      </c>
      <c r="GF4">
        <f t="shared" si="11"/>
        <v>26604.791310946883</v>
      </c>
      <c r="GG4">
        <f t="shared" si="11"/>
        <v>27402.93505027529</v>
      </c>
      <c r="GH4">
        <f t="shared" si="11"/>
        <v>28225.02310178355</v>
      </c>
      <c r="GI4">
        <f t="shared" si="11"/>
        <v>29071.773794837056</v>
      </c>
      <c r="GJ4">
        <f t="shared" si="11"/>
        <v>29943.927008682167</v>
      </c>
      <c r="GK4">
        <f t="shared" si="11"/>
        <v>30842.244818942632</v>
      </c>
      <c r="GL4">
        <f t="shared" si="11"/>
        <v>31767.512163510914</v>
      </c>
      <c r="GM4">
        <f t="shared" si="11"/>
        <v>32720.53752841624</v>
      </c>
      <c r="GN4">
        <f t="shared" si="11"/>
        <v>33702.153654268732</v>
      </c>
      <c r="GO4">
        <f t="shared" si="11"/>
        <v>34713.218263896793</v>
      </c>
      <c r="GP4">
        <f t="shared" si="11"/>
        <v>35754.614811813699</v>
      </c>
      <c r="GQ4">
        <f t="shared" si="11"/>
        <v>36827.253256168107</v>
      </c>
      <c r="GR4">
        <f t="shared" si="11"/>
        <v>37932.070853853154</v>
      </c>
      <c r="GS4">
        <f t="shared" si="11"/>
        <v>39070.03297946875</v>
      </c>
      <c r="GT4">
        <f t="shared" si="11"/>
        <v>40242.13396885281</v>
      </c>
      <c r="GU4">
        <f t="shared" si="11"/>
        <v>41449.397987918397</v>
      </c>
      <c r="GV4">
        <f t="shared" si="11"/>
        <v>42692.87992755595</v>
      </c>
      <c r="GW4">
        <f t="shared" si="11"/>
        <v>43973.666325382634</v>
      </c>
      <c r="GX4">
        <f t="shared" si="11"/>
        <v>45292.876315144116</v>
      </c>
      <c r="GY4">
        <f t="shared" si="11"/>
        <v>46651.662604598438</v>
      </c>
      <c r="GZ4">
        <f t="shared" si="11"/>
        <v>48051.212482736395</v>
      </c>
      <c r="HA4">
        <f t="shared" si="11"/>
        <v>49492.748857218488</v>
      </c>
      <c r="HB4">
        <f t="shared" si="11"/>
        <v>50977.531322935043</v>
      </c>
      <c r="HC4">
        <f t="shared" si="11"/>
        <v>52506.857262623096</v>
      </c>
      <c r="HD4">
        <f t="shared" si="11"/>
        <v>54082.062980501789</v>
      </c>
      <c r="HE4">
        <f t="shared" si="11"/>
        <v>55704.524869916844</v>
      </c>
      <c r="HF4">
        <f t="shared" si="11"/>
        <v>57375.660616014349</v>
      </c>
      <c r="HG4">
        <f t="shared" si="11"/>
        <v>59096.930434494781</v>
      </c>
      <c r="HH4">
        <f t="shared" si="11"/>
        <v>60869.838347529629</v>
      </c>
      <c r="HI4">
        <f t="shared" ref="HI4:HJ4" si="12">+HH4*(1+$B$2)</f>
        <v>62695.933497955521</v>
      </c>
      <c r="HJ4">
        <f t="shared" si="12"/>
        <v>64576.81150289419</v>
      </c>
      <c r="HK4">
        <f>+HJ4*(1+$B$2)</f>
        <v>66514.115847981011</v>
      </c>
      <c r="HL4">
        <f t="shared" ref="HL4:JW4" si="13">+HK4*(1+$B$2)</f>
        <v>68509.539323420438</v>
      </c>
      <c r="HM4">
        <f t="shared" si="13"/>
        <v>70564.825503123051</v>
      </c>
      <c r="HN4">
        <f t="shared" si="13"/>
        <v>72681.770268216744</v>
      </c>
      <c r="HO4">
        <f t="shared" si="13"/>
        <v>74862.223376263253</v>
      </c>
      <c r="HP4">
        <f t="shared" si="13"/>
        <v>77108.090077551155</v>
      </c>
      <c r="HQ4">
        <f t="shared" si="13"/>
        <v>79421.332779877688</v>
      </c>
      <c r="HR4">
        <f t="shared" si="13"/>
        <v>81803.972763274025</v>
      </c>
      <c r="HS4">
        <f t="shared" si="13"/>
        <v>84258.091946172251</v>
      </c>
      <c r="HT4">
        <f t="shared" si="13"/>
        <v>86785.834704557419</v>
      </c>
      <c r="HU4">
        <f t="shared" si="13"/>
        <v>89389.409745694138</v>
      </c>
      <c r="HV4">
        <f t="shared" si="13"/>
        <v>92071.092038064962</v>
      </c>
      <c r="HW4">
        <f t="shared" si="13"/>
        <v>94833.224799206917</v>
      </c>
      <c r="HX4">
        <f t="shared" si="13"/>
        <v>97678.221543183128</v>
      </c>
      <c r="HY4">
        <f t="shared" si="13"/>
        <v>100608.56818947862</v>
      </c>
      <c r="HZ4">
        <f t="shared" si="13"/>
        <v>103626.82523516299</v>
      </c>
      <c r="IA4">
        <f t="shared" si="13"/>
        <v>106735.62999221789</v>
      </c>
      <c r="IB4">
        <f t="shared" si="13"/>
        <v>109937.69889198443</v>
      </c>
      <c r="IC4">
        <f t="shared" si="13"/>
        <v>113235.82985874396</v>
      </c>
      <c r="ID4">
        <f t="shared" si="13"/>
        <v>116632.90475450629</v>
      </c>
      <c r="IE4">
        <f t="shared" si="13"/>
        <v>120131.89189714148</v>
      </c>
      <c r="IF4">
        <f t="shared" si="13"/>
        <v>123735.84865405574</v>
      </c>
      <c r="IG4">
        <f t="shared" si="13"/>
        <v>127447.92411367741</v>
      </c>
      <c r="IH4">
        <f t="shared" si="13"/>
        <v>131271.36183708772</v>
      </c>
      <c r="II4">
        <f t="shared" si="13"/>
        <v>135209.50269220036</v>
      </c>
      <c r="IJ4">
        <f t="shared" si="13"/>
        <v>139265.78777296637</v>
      </c>
      <c r="IK4">
        <f t="shared" si="13"/>
        <v>143443.76140615536</v>
      </c>
      <c r="IL4">
        <f t="shared" si="13"/>
        <v>147747.07424834004</v>
      </c>
      <c r="IM4">
        <f t="shared" si="13"/>
        <v>152179.48647579024</v>
      </c>
      <c r="IN4">
        <f t="shared" si="13"/>
        <v>156744.87107006396</v>
      </c>
      <c r="IO4">
        <f t="shared" si="13"/>
        <v>161447.21720216589</v>
      </c>
      <c r="IP4">
        <f t="shared" si="13"/>
        <v>166290.63371823088</v>
      </c>
      <c r="IQ4">
        <f t="shared" si="13"/>
        <v>171279.35272977781</v>
      </c>
      <c r="IR4">
        <f t="shared" si="13"/>
        <v>176417.73331167115</v>
      </c>
      <c r="IS4">
        <f t="shared" si="13"/>
        <v>181710.2653110213</v>
      </c>
      <c r="IT4">
        <f t="shared" si="13"/>
        <v>187161.57327035195</v>
      </c>
      <c r="IU4">
        <f t="shared" si="13"/>
        <v>192776.42046846251</v>
      </c>
      <c r="IV4">
        <f t="shared" si="13"/>
        <v>198559.71308251639</v>
      </c>
      <c r="IW4">
        <f t="shared" si="13"/>
        <v>204516.50447499187</v>
      </c>
      <c r="IX4">
        <f t="shared" si="13"/>
        <v>210651.99960924164</v>
      </c>
      <c r="IY4">
        <f t="shared" si="13"/>
        <v>216971.55959751891</v>
      </c>
      <c r="IZ4">
        <f t="shared" si="13"/>
        <v>223480.70638544447</v>
      </c>
      <c r="JA4">
        <f t="shared" si="13"/>
        <v>230185.12757700781</v>
      </c>
      <c r="JB4">
        <f t="shared" si="13"/>
        <v>237090.68140431805</v>
      </c>
      <c r="JC4">
        <f t="shared" si="13"/>
        <v>244203.40184644761</v>
      </c>
      <c r="JD4">
        <f t="shared" si="13"/>
        <v>251529.50390184103</v>
      </c>
      <c r="JE4">
        <f t="shared" si="13"/>
        <v>259075.38901889627</v>
      </c>
      <c r="JF4">
        <f t="shared" si="13"/>
        <v>266847.65068946319</v>
      </c>
      <c r="JG4">
        <f t="shared" si="13"/>
        <v>274853.08021014708</v>
      </c>
      <c r="JH4">
        <f t="shared" si="13"/>
        <v>283098.67261645151</v>
      </c>
      <c r="JI4">
        <f t="shared" si="13"/>
        <v>291591.63279494509</v>
      </c>
      <c r="JJ4">
        <f t="shared" si="13"/>
        <v>300339.38177879347</v>
      </c>
      <c r="JK4">
        <f t="shared" si="13"/>
        <v>309349.56323215726</v>
      </c>
      <c r="JL4">
        <f t="shared" si="13"/>
        <v>318630.05012912198</v>
      </c>
      <c r="JM4">
        <f t="shared" si="13"/>
        <v>328188.95163299562</v>
      </c>
      <c r="JN4">
        <f t="shared" si="13"/>
        <v>338034.62018198549</v>
      </c>
      <c r="JO4">
        <f t="shared" si="13"/>
        <v>348175.65878744505</v>
      </c>
      <c r="JP4">
        <f t="shared" si="13"/>
        <v>358620.92855106841</v>
      </c>
      <c r="JQ4">
        <f t="shared" si="13"/>
        <v>369379.55640760047</v>
      </c>
      <c r="JR4">
        <f t="shared" si="13"/>
        <v>380460.9430998285</v>
      </c>
      <c r="JS4">
        <f t="shared" si="13"/>
        <v>391874.77139282337</v>
      </c>
      <c r="JT4">
        <f t="shared" si="13"/>
        <v>403631.01453460811</v>
      </c>
      <c r="JU4">
        <f t="shared" si="13"/>
        <v>415739.94497064635</v>
      </c>
      <c r="JV4">
        <f t="shared" si="13"/>
        <v>428212.14331976575</v>
      </c>
      <c r="JW4">
        <f t="shared" si="13"/>
        <v>441058.50761935872</v>
      </c>
      <c r="JX4">
        <f t="shared" ref="JX4:KO4" si="14">+JW4*(1+$B$2)</f>
        <v>454290.26284793951</v>
      </c>
      <c r="JY4">
        <f t="shared" si="14"/>
        <v>467918.97073337768</v>
      </c>
      <c r="JZ4">
        <f t="shared" si="14"/>
        <v>481956.53985537903</v>
      </c>
      <c r="KA4">
        <f t="shared" si="14"/>
        <v>496415.23605104041</v>
      </c>
      <c r="KB4">
        <f t="shared" si="14"/>
        <v>511307.69313257164</v>
      </c>
      <c r="KC4">
        <f t="shared" si="14"/>
        <v>526646.9239265488</v>
      </c>
      <c r="KD4">
        <f t="shared" si="14"/>
        <v>542446.33164434531</v>
      </c>
      <c r="KE4">
        <f t="shared" si="14"/>
        <v>558719.72159367567</v>
      </c>
      <c r="KF4">
        <f t="shared" si="14"/>
        <v>575481.31324148597</v>
      </c>
      <c r="KG4">
        <f t="shared" si="14"/>
        <v>592745.75263873057</v>
      </c>
      <c r="KH4">
        <f t="shared" si="14"/>
        <v>610528.12521789246</v>
      </c>
      <c r="KI4">
        <f t="shared" si="14"/>
        <v>628843.9689744293</v>
      </c>
      <c r="KJ4">
        <f t="shared" si="14"/>
        <v>647709.28804366221</v>
      </c>
      <c r="KK4">
        <f t="shared" si="14"/>
        <v>667140.56668497215</v>
      </c>
      <c r="KL4">
        <f t="shared" si="14"/>
        <v>687154.78368552134</v>
      </c>
      <c r="KM4">
        <f t="shared" si="14"/>
        <v>707769.42719608697</v>
      </c>
      <c r="KN4">
        <f t="shared" si="14"/>
        <v>729002.5100119696</v>
      </c>
      <c r="KO4">
        <f t="shared" si="14"/>
        <v>750872.58531232865</v>
      </c>
      <c r="KP4">
        <f t="shared" ref="KP4:KQ4" si="15">+KO4*(1+$B$2)</f>
        <v>773398.76287169848</v>
      </c>
      <c r="KQ4">
        <f t="shared" si="15"/>
        <v>796600.7257578494</v>
      </c>
      <c r="KR4">
        <f>+KQ4*(1+$B$2)</f>
        <v>820498.74753058492</v>
      </c>
    </row>
    <row r="5" spans="1:304" x14ac:dyDescent="0.25">
      <c r="C5" t="s">
        <v>4</v>
      </c>
      <c r="D5">
        <f>+D4/(1+$B$1)^D3</f>
        <v>-700</v>
      </c>
      <c r="E5">
        <f>+E4/(1+$B$1)^E3</f>
        <v>-642.20183486238523</v>
      </c>
      <c r="F5">
        <f>+F4/(1+$B$1)^F3</f>
        <v>0</v>
      </c>
      <c r="G5">
        <f>+G4/(1+$B$1)^G3</f>
        <v>77.21834800610641</v>
      </c>
      <c r="H5">
        <f>+H4/(1+$B$1)^H3</f>
        <v>70.842521106519641</v>
      </c>
      <c r="I5">
        <f t="shared" ref="I5:BT5" si="16">+I4/(1+$B$1)^I3</f>
        <v>64.993138629834533</v>
      </c>
      <c r="J5">
        <f t="shared" si="16"/>
        <v>71.552079225505892</v>
      </c>
      <c r="K5">
        <f t="shared" si="16"/>
        <v>65.644109381198078</v>
      </c>
      <c r="L5">
        <f t="shared" si="16"/>
        <v>60.22395356073217</v>
      </c>
      <c r="M5">
        <f t="shared" si="16"/>
        <v>73.668444722608157</v>
      </c>
      <c r="N5">
        <f t="shared" si="16"/>
        <v>67.585729103310229</v>
      </c>
      <c r="O5">
        <f t="shared" si="16"/>
        <v>62.005256058082779</v>
      </c>
      <c r="P5">
        <f t="shared" si="16"/>
        <v>58.592122697087405</v>
      </c>
      <c r="Q5">
        <f t="shared" si="16"/>
        <v>55.366868236697265</v>
      </c>
      <c r="R5">
        <f t="shared" si="16"/>
        <v>52.319150719080902</v>
      </c>
      <c r="S5">
        <f t="shared" si="16"/>
        <v>49.43919746848929</v>
      </c>
      <c r="T5">
        <f t="shared" si="16"/>
        <v>46.717773754627494</v>
      </c>
      <c r="U5">
        <f t="shared" si="16"/>
        <v>44.146153180978274</v>
      </c>
      <c r="V5">
        <f t="shared" si="16"/>
        <v>41.716089703126258</v>
      </c>
      <c r="W5">
        <f t="shared" si="16"/>
        <v>39.419791187357838</v>
      </c>
      <c r="X5">
        <f t="shared" si="16"/>
        <v>37.249894424750984</v>
      </c>
      <c r="Y5">
        <f t="shared" si="16"/>
        <v>35.199441520636242</v>
      </c>
      <c r="Z5">
        <f t="shared" si="16"/>
        <v>33.261857583720484</v>
      </c>
      <c r="AA5">
        <f t="shared" si="16"/>
        <v>31.430929643332206</v>
      </c>
      <c r="AB5">
        <f t="shared" si="16"/>
        <v>29.700786727185477</v>
      </c>
      <c r="AC5">
        <f t="shared" si="16"/>
        <v>28.06588103578077</v>
      </c>
      <c r="AD5">
        <f t="shared" si="16"/>
        <v>26.52097015307724</v>
      </c>
      <c r="AE5">
        <f t="shared" si="16"/>
        <v>25.061100236394093</v>
      </c>
      <c r="AF5">
        <f t="shared" si="16"/>
        <v>23.681590131638455</v>
      </c>
      <c r="AG5">
        <f t="shared" si="16"/>
        <v>22.378016362924406</v>
      </c>
      <c r="AH5">
        <f t="shared" si="16"/>
        <v>21.146198948451502</v>
      </c>
      <c r="AI5">
        <f t="shared" si="16"/>
        <v>19.982187997160594</v>
      </c>
      <c r="AJ5">
        <f t="shared" si="16"/>
        <v>18.88225104318845</v>
      </c>
      <c r="AK5">
        <f t="shared" si="16"/>
        <v>17.842861077508353</v>
      </c>
      <c r="AL5">
        <f t="shared" si="16"/>
        <v>16.86068523837945</v>
      </c>
      <c r="AM5">
        <f t="shared" si="16"/>
        <v>15.932574124340213</v>
      </c>
      <c r="AN5">
        <f t="shared" si="16"/>
        <v>15.055551695477448</v>
      </c>
      <c r="AO5">
        <f t="shared" si="16"/>
        <v>14.226805730588781</v>
      </c>
      <c r="AP5">
        <f t="shared" si="16"/>
        <v>13.443678809638937</v>
      </c>
      <c r="AQ5">
        <f t="shared" si="16"/>
        <v>12.703659792594594</v>
      </c>
      <c r="AR5">
        <f t="shared" si="16"/>
        <v>12.004375767314158</v>
      </c>
      <c r="AS5">
        <f t="shared" si="16"/>
        <v>11.343584440673011</v>
      </c>
      <c r="AT5">
        <f t="shared" si="16"/>
        <v>10.719166948525872</v>
      </c>
      <c r="AU5">
        <f t="shared" si="16"/>
        <v>10.129121061451054</v>
      </c>
      <c r="AV5">
        <f t="shared" si="16"/>
        <v>9.5715547644904451</v>
      </c>
      <c r="AW5">
        <f t="shared" si="16"/>
        <v>9.0446801902983101</v>
      </c>
      <c r="AX5">
        <f t="shared" si="16"/>
        <v>8.5468078862451922</v>
      </c>
      <c r="AY5">
        <f t="shared" si="16"/>
        <v>8.0763413970940796</v>
      </c>
      <c r="AZ5">
        <f t="shared" si="16"/>
        <v>7.6317721458778927</v>
      </c>
      <c r="BA5">
        <f t="shared" si="16"/>
        <v>7.2116745965635136</v>
      </c>
      <c r="BB5">
        <f t="shared" si="16"/>
        <v>6.8147016829912088</v>
      </c>
      <c r="BC5">
        <f t="shared" si="16"/>
        <v>6.4395804894320605</v>
      </c>
      <c r="BD5">
        <f t="shared" si="16"/>
        <v>6.085108168912865</v>
      </c>
      <c r="BE5">
        <f t="shared" si="16"/>
        <v>5.7501480862204133</v>
      </c>
      <c r="BF5">
        <f t="shared" si="16"/>
        <v>5.433626173217454</v>
      </c>
      <c r="BG5">
        <f t="shared" si="16"/>
        <v>5.1345274847834661</v>
      </c>
      <c r="BH5">
        <f t="shared" si="16"/>
        <v>4.8518929443366687</v>
      </c>
      <c r="BI5">
        <f t="shared" si="16"/>
        <v>4.5848162685016218</v>
      </c>
      <c r="BJ5">
        <f t="shared" si="16"/>
        <v>4.3324410610611661</v>
      </c>
      <c r="BK5">
        <f t="shared" si="16"/>
        <v>4.093958066874313</v>
      </c>
      <c r="BL5">
        <f t="shared" si="16"/>
        <v>3.8686025769546255</v>
      </c>
      <c r="BM5">
        <f t="shared" si="16"/>
        <v>3.6556519763883153</v>
      </c>
      <c r="BN5">
        <f t="shared" si="16"/>
        <v>3.454423427229325</v>
      </c>
      <c r="BO5">
        <f t="shared" si="16"/>
        <v>3.2642716789414727</v>
      </c>
      <c r="BP5">
        <f t="shared" si="16"/>
        <v>3.0845869993667128</v>
      </c>
      <c r="BQ5">
        <f t="shared" si="16"/>
        <v>2.914793219585059</v>
      </c>
      <c r="BR5">
        <f t="shared" si="16"/>
        <v>2.7543458863968904</v>
      </c>
      <c r="BS5">
        <f t="shared" si="16"/>
        <v>2.6027305165034833</v>
      </c>
      <c r="BT5">
        <f t="shared" si="16"/>
        <v>2.4594609467876953</v>
      </c>
      <c r="BU5">
        <f t="shared" ref="BU5:EF5" si="17">+BU4/(1+$B$1)^BU3</f>
        <v>2.3240777754048865</v>
      </c>
      <c r="BV5">
        <f t="shared" si="17"/>
        <v>2.1961468886853512</v>
      </c>
      <c r="BW5">
        <f t="shared" si="17"/>
        <v>2.0752580691246898</v>
      </c>
      <c r="BX5">
        <f t="shared" si="17"/>
        <v>1.9610236799985601</v>
      </c>
      <c r="BY5">
        <f t="shared" si="17"/>
        <v>1.8530774223839603</v>
      </c>
      <c r="BZ5">
        <f t="shared" si="17"/>
        <v>1.7510731606013568</v>
      </c>
      <c r="CA5">
        <f t="shared" si="17"/>
        <v>1.6546838123113738</v>
      </c>
      <c r="CB5">
        <f t="shared" si="17"/>
        <v>1.5636002997070781</v>
      </c>
      <c r="CC5">
        <f t="shared" si="17"/>
        <v>1.4775305584387983</v>
      </c>
      <c r="CD5">
        <f t="shared" si="17"/>
        <v>1.3961986010935434</v>
      </c>
      <c r="CE5">
        <f t="shared" si="17"/>
        <v>1.3193436322260088</v>
      </c>
      <c r="CF5">
        <f t="shared" si="17"/>
        <v>1.2467192121034762</v>
      </c>
      <c r="CG5">
        <f t="shared" si="17"/>
        <v>1.1780924664831014</v>
      </c>
      <c r="CH5">
        <f t="shared" si="17"/>
        <v>1.1132433398877011</v>
      </c>
      <c r="CI5">
        <f t="shared" si="17"/>
        <v>1.0519638899856258</v>
      </c>
      <c r="CJ5">
        <f t="shared" si="17"/>
        <v>0.99405762081210525</v>
      </c>
      <c r="CK5">
        <f t="shared" si="17"/>
        <v>0.93933885269400741</v>
      </c>
      <c r="CL5">
        <f t="shared" si="17"/>
        <v>0.88763212685764015</v>
      </c>
      <c r="CM5">
        <f t="shared" si="17"/>
        <v>0.8387716428104306</v>
      </c>
      <c r="CN5">
        <f t="shared" si="17"/>
        <v>0.79260072669242521</v>
      </c>
      <c r="CO5">
        <f t="shared" si="17"/>
        <v>0.74897132889284201</v>
      </c>
      <c r="CP5">
        <f t="shared" si="17"/>
        <v>0.707743549320759</v>
      </c>
      <c r="CQ5">
        <f t="shared" si="17"/>
        <v>0.66878518880768967</v>
      </c>
      <c r="CR5">
        <f t="shared" si="17"/>
        <v>0.63197132520359667</v>
      </c>
      <c r="CS5">
        <f t="shared" si="17"/>
        <v>0.5971839128070684</v>
      </c>
      <c r="CT5">
        <f t="shared" si="17"/>
        <v>0.56431140384521139</v>
      </c>
      <c r="CU5">
        <f t="shared" si="17"/>
        <v>0.53324839078951181</v>
      </c>
      <c r="CV5">
        <f t="shared" si="17"/>
        <v>0.50389526836073129</v>
      </c>
      <c r="CW5">
        <f t="shared" si="17"/>
        <v>0.47615791413903968</v>
      </c>
      <c r="CX5">
        <f t="shared" si="17"/>
        <v>0.44994738675523921</v>
      </c>
      <c r="CY5">
        <f t="shared" si="17"/>
        <v>0.42517964069531783</v>
      </c>
      <c r="CZ5">
        <f t="shared" si="17"/>
        <v>0.40177525680383241</v>
      </c>
      <c r="DA5">
        <f t="shared" si="17"/>
        <v>0.3796591876219701</v>
      </c>
      <c r="DB5">
        <f t="shared" si="17"/>
        <v>0.35876051674369647</v>
      </c>
      <c r="DC5">
        <f t="shared" si="17"/>
        <v>0.33901223141835546</v>
      </c>
      <c r="DD5">
        <f t="shared" si="17"/>
        <v>0.32035100767055608</v>
      </c>
      <c r="DE5">
        <f t="shared" si="17"/>
        <v>0.30271700724832357</v>
      </c>
      <c r="DF5">
        <f t="shared" si="17"/>
        <v>0.28605368574841589</v>
      </c>
      <c r="DG5">
        <f t="shared" si="17"/>
        <v>0.27030761130354891</v>
      </c>
      <c r="DH5">
        <f t="shared" si="17"/>
        <v>0.25542829325014255</v>
      </c>
      <c r="DI5">
        <f t="shared" si="17"/>
        <v>0.24136802022719889</v>
      </c>
      <c r="DJ5">
        <f t="shared" si="17"/>
        <v>0.22808170718716958</v>
      </c>
      <c r="DK5">
        <f t="shared" si="17"/>
        <v>0.2155267508282428</v>
      </c>
      <c r="DL5">
        <f t="shared" si="17"/>
        <v>0.20366289298448631</v>
      </c>
      <c r="DM5">
        <f t="shared" si="17"/>
        <v>0.19245209153579898</v>
      </c>
      <c r="DN5">
        <f t="shared" si="17"/>
        <v>0.18185839842373661</v>
      </c>
      <c r="DO5">
        <f t="shared" si="17"/>
        <v>0.17184784438206305</v>
      </c>
      <c r="DP5">
        <f t="shared" si="17"/>
        <v>0.16238833001240821</v>
      </c>
      <c r="DQ5">
        <f t="shared" si="17"/>
        <v>0.15344952285576188</v>
      </c>
      <c r="DR5">
        <f t="shared" si="17"/>
        <v>0.14500276012975663</v>
      </c>
      <c r="DS5">
        <f t="shared" si="17"/>
        <v>0.13702095681986179</v>
      </c>
      <c r="DT5">
        <f t="shared" si="17"/>
        <v>0.12947851882977765</v>
      </c>
      <c r="DU5">
        <f t="shared" si="17"/>
        <v>0.12235126091254214</v>
      </c>
      <c r="DV5">
        <f t="shared" si="17"/>
        <v>0.11561632911919122</v>
      </c>
      <c r="DW5">
        <f t="shared" si="17"/>
        <v>0.10925212751629998</v>
      </c>
      <c r="DX5">
        <f t="shared" si="17"/>
        <v>0.10323824893742108</v>
      </c>
      <c r="DY5">
        <f t="shared" si="17"/>
        <v>9.7555409546370361E-2</v>
      </c>
      <c r="DZ5">
        <f t="shared" si="17"/>
        <v>9.2185387002533467E-2</v>
      </c>
      <c r="EA5">
        <f t="shared" si="17"/>
        <v>8.7110962029916944E-2</v>
      </c>
      <c r="EB5">
        <f t="shared" si="17"/>
        <v>8.2315863202582065E-2</v>
      </c>
      <c r="EC5">
        <f t="shared" si="17"/>
        <v>7.7784714769412414E-2</v>
      </c>
      <c r="ED5">
        <f t="shared" si="17"/>
        <v>7.3502987350912624E-2</v>
      </c>
      <c r="EE5">
        <f t="shared" si="17"/>
        <v>6.9456951349944965E-2</v>
      </c>
      <c r="EF5">
        <f t="shared" si="17"/>
        <v>6.5633632927012214E-2</v>
      </c>
      <c r="EG5">
        <f t="shared" ref="EG5:GR5" si="18">+EG4/(1+$B$1)^EG3</f>
        <v>6.2020772398919795E-2</v>
      </c>
      <c r="EH5">
        <f t="shared" si="18"/>
        <v>5.8606784927419629E-2</v>
      </c>
      <c r="EI5">
        <f t="shared" si="18"/>
        <v>5.5380723371781855E-2</v>
      </c>
      <c r="EJ5">
        <f t="shared" si="18"/>
        <v>5.2332243186179177E-2</v>
      </c>
      <c r="EK5">
        <f t="shared" si="18"/>
        <v>4.945156924932527E-2</v>
      </c>
      <c r="EL5">
        <f t="shared" si="18"/>
        <v>4.6729464520004614E-2</v>
      </c>
      <c r="EM5">
        <f t="shared" si="18"/>
        <v>4.4157200417986014E-2</v>
      </c>
      <c r="EN5">
        <f t="shared" si="18"/>
        <v>4.1726528835344577E-2</v>
      </c>
      <c r="EO5">
        <f t="shared" si="18"/>
        <v>3.9429655688444865E-2</v>
      </c>
      <c r="EP5">
        <f t="shared" si="18"/>
        <v>3.7259215925778175E-2</v>
      </c>
      <c r="EQ5">
        <f t="shared" si="18"/>
        <v>3.5208249911515159E-2</v>
      </c>
      <c r="ER5">
        <f t="shared" si="18"/>
        <v>3.3270181109046434E-2</v>
      </c>
      <c r="ES5">
        <f t="shared" si="18"/>
        <v>3.1438794992952136E-2</v>
      </c>
      <c r="ET5">
        <f t="shared" si="18"/>
        <v>2.9708219121780458E-2</v>
      </c>
      <c r="EU5">
        <f t="shared" si="18"/>
        <v>2.8072904307737498E-2</v>
      </c>
      <c r="EV5">
        <f t="shared" si="18"/>
        <v>2.6527606822907911E-2</v>
      </c>
      <c r="EW5">
        <f t="shared" si="18"/>
        <v>2.5067371584949674E-2</v>
      </c>
      <c r="EX5">
        <f t="shared" si="18"/>
        <v>2.3687516268346934E-2</v>
      </c>
      <c r="EY5">
        <f t="shared" si="18"/>
        <v>2.2383616290272794E-2</v>
      </c>
      <c r="EZ5">
        <f t="shared" si="18"/>
        <v>2.1151490622918327E-2</v>
      </c>
      <c r="FA5">
        <f t="shared" si="18"/>
        <v>1.9987188386794377E-2</v>
      </c>
      <c r="FB5">
        <f t="shared" si="18"/>
        <v>1.8886976182016707E-2</v>
      </c>
      <c r="FC5">
        <f t="shared" si="18"/>
        <v>1.7847326116951567E-2</v>
      </c>
      <c r="FD5">
        <f t="shared" si="18"/>
        <v>1.6864904495834967E-2</v>
      </c>
      <c r="FE5">
        <f t="shared" si="18"/>
        <v>1.5936561129091757E-2</v>
      </c>
      <c r="FF5">
        <f t="shared" si="18"/>
        <v>1.5059319232077531E-2</v>
      </c>
      <c r="FG5">
        <f t="shared" si="18"/>
        <v>1.4230365879853079E-2</v>
      </c>
      <c r="FH5">
        <f t="shared" si="18"/>
        <v>1.3447042987384103E-2</v>
      </c>
      <c r="FI5">
        <f t="shared" si="18"/>
        <v>1.2706838786243695E-2</v>
      </c>
      <c r="FJ5">
        <f t="shared" si="18"/>
        <v>1.2007379770487161E-2</v>
      </c>
      <c r="FK5">
        <f t="shared" si="18"/>
        <v>1.1346423085873188E-2</v>
      </c>
      <c r="FL5">
        <f t="shared" si="18"/>
        <v>1.0721849338026957E-2</v>
      </c>
      <c r="FM5">
        <f t="shared" si="18"/>
        <v>1.0131655796484191E-2</v>
      </c>
      <c r="FN5">
        <f t="shared" si="18"/>
        <v>9.5739499728245085E-3</v>
      </c>
      <c r="FO5">
        <f t="shared" si="18"/>
        <v>9.04694355230206E-3</v>
      </c>
      <c r="FP5">
        <f t="shared" si="18"/>
        <v>8.54894665951479E-3</v>
      </c>
      <c r="FQ5">
        <f t="shared" si="18"/>
        <v>8.0783624397249842E-3</v>
      </c>
      <c r="FR5">
        <f t="shared" si="18"/>
        <v>7.6336819384557192E-3</v>
      </c>
      <c r="FS5">
        <f t="shared" si="18"/>
        <v>7.2134792629443955E-3</v>
      </c>
      <c r="FT5">
        <f t="shared" si="18"/>
        <v>6.8164070099382829E-3</v>
      </c>
      <c r="FU5">
        <f t="shared" si="18"/>
        <v>6.4411919451710367E-3</v>
      </c>
      <c r="FV5">
        <f t="shared" si="18"/>
        <v>6.0866309206662099E-3</v>
      </c>
      <c r="FW5">
        <f t="shared" si="18"/>
        <v>5.7515870167763267E-3</v>
      </c>
      <c r="FX5">
        <f t="shared" si="18"/>
        <v>5.4349858965868029E-3</v>
      </c>
      <c r="FY5">
        <f t="shared" si="18"/>
        <v>5.1358123609948694E-3</v>
      </c>
      <c r="FZ5">
        <f t="shared" si="18"/>
        <v>4.8531070934171687E-3</v>
      </c>
      <c r="GA5">
        <f t="shared" si="18"/>
        <v>4.5859635836877832E-3</v>
      </c>
      <c r="GB5">
        <f t="shared" si="18"/>
        <v>4.3335252212829516E-3</v>
      </c>
      <c r="GC5">
        <f t="shared" si="18"/>
        <v>4.09498254855178E-3</v>
      </c>
      <c r="GD5">
        <f t="shared" si="18"/>
        <v>3.8695706651452597E-3</v>
      </c>
      <c r="GE5">
        <f t="shared" si="18"/>
        <v>3.6565667753207503E-3</v>
      </c>
      <c r="GF5">
        <f t="shared" si="18"/>
        <v>3.4552878702572222E-3</v>
      </c>
      <c r="GG5">
        <f t="shared" si="18"/>
        <v>3.2650885379494851E-3</v>
      </c>
      <c r="GH5">
        <f t="shared" si="18"/>
        <v>3.0853588936586877E-3</v>
      </c>
      <c r="GI5">
        <f t="shared" si="18"/>
        <v>2.9155226242829802E-3</v>
      </c>
      <c r="GJ5">
        <f t="shared" si="18"/>
        <v>2.7550351403774946E-3</v>
      </c>
      <c r="GK5">
        <f t="shared" si="18"/>
        <v>2.6033818298979994E-3</v>
      </c>
      <c r="GL5">
        <f t="shared" si="18"/>
        <v>2.4600764080687514E-3</v>
      </c>
      <c r="GM5">
        <f t="shared" si="18"/>
        <v>2.3246593580833158E-3</v>
      </c>
      <c r="GN5">
        <f t="shared" si="18"/>
        <v>2.1966964576383631E-3</v>
      </c>
      <c r="GO5">
        <f t="shared" si="18"/>
        <v>2.0757773865757007E-3</v>
      </c>
      <c r="GP5">
        <f t="shared" si="18"/>
        <v>1.9615144111678634E-3</v>
      </c>
      <c r="GQ5">
        <f t="shared" si="18"/>
        <v>1.8535411408283481E-3</v>
      </c>
      <c r="GR5">
        <f t="shared" si="18"/>
        <v>1.7515113532598151E-3</v>
      </c>
      <c r="GS5">
        <f t="shared" ref="GS5:HJ5" si="19">+GS4/(1+$B$1)^GS3</f>
        <v>1.6550978842730364E-3</v>
      </c>
      <c r="GT5">
        <f t="shared" si="19"/>
        <v>1.5639915787167221E-3</v>
      </c>
      <c r="GU5">
        <f t="shared" si="19"/>
        <v>1.477900299154334E-3</v>
      </c>
      <c r="GV5">
        <f t="shared" si="19"/>
        <v>1.3965479891091413E-3</v>
      </c>
      <c r="GW5">
        <f t="shared" si="19"/>
        <v>1.3196737878737757E-3</v>
      </c>
      <c r="GX5">
        <f t="shared" si="19"/>
        <v>1.2470311940458614E-3</v>
      </c>
      <c r="GY5">
        <f t="shared" si="19"/>
        <v>1.1783872751075571E-3</v>
      </c>
      <c r="GZ5">
        <f t="shared" si="19"/>
        <v>1.1135219205144807E-3</v>
      </c>
      <c r="HA5">
        <f t="shared" si="19"/>
        <v>1.0522271358990045E-3</v>
      </c>
      <c r="HB5">
        <f t="shared" si="19"/>
        <v>9.9430637612474737E-4</v>
      </c>
      <c r="HC5">
        <f t="shared" si="19"/>
        <v>9.3957391505366042E-4</v>
      </c>
      <c r="HD5">
        <f t="shared" si="19"/>
        <v>8.8785425000483496E-4</v>
      </c>
      <c r="HE5">
        <f t="shared" si="19"/>
        <v>8.3898153899539458E-4</v>
      </c>
      <c r="HF5">
        <f t="shared" si="19"/>
        <v>7.9279906895895059E-4</v>
      </c>
      <c r="HG5">
        <f t="shared" si="19"/>
        <v>7.4915875323643968E-4</v>
      </c>
      <c r="HH5">
        <f t="shared" si="19"/>
        <v>7.0792065672801183E-4</v>
      </c>
      <c r="HI5">
        <f t="shared" si="19"/>
        <v>6.689525471833505E-4</v>
      </c>
      <c r="HJ5">
        <f t="shared" si="19"/>
        <v>6.321294711916065E-4</v>
      </c>
      <c r="HK5">
        <f>+HK4/(1+$B$1)^HK3</f>
        <v>5.9733335351133459E-4</v>
      </c>
      <c r="HL5">
        <f t="shared" ref="HL5:JW5" si="20">+HL4/(1+$B$1)^HL3</f>
        <v>5.6445261845566473E-4</v>
      </c>
      <c r="HM5">
        <f t="shared" si="20"/>
        <v>5.3338183211865554E-4</v>
      </c>
      <c r="HN5">
        <f t="shared" si="20"/>
        <v>5.0402136429561028E-4</v>
      </c>
      <c r="HO5">
        <f t="shared" si="20"/>
        <v>4.7627706901328304E-4</v>
      </c>
      <c r="HP5">
        <f t="shared" si="20"/>
        <v>4.5005998264557943E-4</v>
      </c>
      <c r="HQ5">
        <f t="shared" si="20"/>
        <v>4.2528603864674025E-4</v>
      </c>
      <c r="HR5">
        <f t="shared" si="20"/>
        <v>4.0187579798728654E-4</v>
      </c>
      <c r="HS5">
        <f t="shared" si="20"/>
        <v>3.7975419442835341E-4</v>
      </c>
      <c r="HT5">
        <f t="shared" si="20"/>
        <v>3.5885029381761837E-4</v>
      </c>
      <c r="HU5">
        <f t="shared" si="20"/>
        <v>3.3909706663499712E-4</v>
      </c>
      <c r="HV5">
        <f t="shared" si="20"/>
        <v>3.2043117305875871E-4</v>
      </c>
      <c r="HW5">
        <f t="shared" si="20"/>
        <v>3.0279275986286374E-4</v>
      </c>
      <c r="HX5">
        <f t="shared" si="20"/>
        <v>2.8612526849426575E-4</v>
      </c>
      <c r="HY5">
        <f t="shared" si="20"/>
        <v>2.7037525371476485E-4</v>
      </c>
      <c r="HZ5">
        <f t="shared" si="20"/>
        <v>2.5549221222587876E-4</v>
      </c>
      <c r="IA5">
        <f t="shared" si="20"/>
        <v>2.4142842072720654E-4</v>
      </c>
      <c r="IB5">
        <f t="shared" si="20"/>
        <v>2.2813878288901167E-4</v>
      </c>
      <c r="IC5">
        <f t="shared" si="20"/>
        <v>2.1558068474833211E-4</v>
      </c>
      <c r="ID5">
        <f t="shared" si="20"/>
        <v>2.0371385806493771E-4</v>
      </c>
      <c r="IE5">
        <f t="shared" si="20"/>
        <v>1.9250025119897781E-4</v>
      </c>
      <c r="IF5">
        <f t="shared" si="20"/>
        <v>1.8190390709628179E-4</v>
      </c>
      <c r="IG5">
        <f t="shared" si="20"/>
        <v>1.7189084799006443E-4</v>
      </c>
      <c r="IH5">
        <f t="shared" si="20"/>
        <v>1.6242896644932692E-4</v>
      </c>
      <c r="II5">
        <f t="shared" si="20"/>
        <v>1.5348792242459334E-4</v>
      </c>
      <c r="IJ5">
        <f t="shared" si="20"/>
        <v>1.4503904596085425E-4</v>
      </c>
      <c r="IK5">
        <f t="shared" si="20"/>
        <v>1.3705524526576136E-4</v>
      </c>
      <c r="IL5">
        <f t="shared" si="20"/>
        <v>1.2951091983828822E-4</v>
      </c>
      <c r="IM5">
        <f t="shared" si="20"/>
        <v>1.223818783792999E-4</v>
      </c>
      <c r="IN5">
        <f t="shared" si="20"/>
        <v>1.1564526122080633E-4</v>
      </c>
      <c r="IO5">
        <f t="shared" si="20"/>
        <v>1.0927946702516563E-4</v>
      </c>
      <c r="IP5">
        <f t="shared" si="20"/>
        <v>1.032640835191932E-4</v>
      </c>
      <c r="IQ5">
        <f t="shared" si="20"/>
        <v>9.7579822041072483E-5</v>
      </c>
      <c r="IR5">
        <f t="shared" si="20"/>
        <v>9.2208455690187755E-5</v>
      </c>
      <c r="IS5">
        <f t="shared" si="20"/>
        <v>8.7132760881553542E-5</v>
      </c>
      <c r="IT5">
        <f t="shared" si="20"/>
        <v>8.2336462117431336E-5</v>
      </c>
      <c r="IU5">
        <f t="shared" si="20"/>
        <v>7.7804179799040622E-5</v>
      </c>
      <c r="IV5">
        <f t="shared" si="20"/>
        <v>7.3521380911020041E-5</v>
      </c>
      <c r="IW5">
        <f t="shared" si="20"/>
        <v>6.9474332420505164E-5</v>
      </c>
      <c r="IX5">
        <f t="shared" si="20"/>
        <v>6.565005724139478E-5</v>
      </c>
      <c r="IY5">
        <f t="shared" si="20"/>
        <v>6.2036292622602419E-5</v>
      </c>
      <c r="IZ5">
        <f t="shared" si="20"/>
        <v>5.8621450826862827E-5</v>
      </c>
      <c r="JA5">
        <f t="shared" si="20"/>
        <v>5.5394581974007992E-5</v>
      </c>
      <c r="JB5">
        <f t="shared" si="20"/>
        <v>5.2345338929567186E-5</v>
      </c>
      <c r="JC5">
        <f t="shared" si="20"/>
        <v>4.9463944126104774E-5</v>
      </c>
      <c r="JD5">
        <f t="shared" si="20"/>
        <v>4.6741158210906336E-5</v>
      </c>
      <c r="JE5">
        <f t="shared" si="20"/>
        <v>4.4168250419480299E-5</v>
      </c>
      <c r="JF5">
        <f t="shared" si="20"/>
        <v>4.1736970579875877E-5</v>
      </c>
      <c r="JG5">
        <f t="shared" si="20"/>
        <v>3.9439522658047849E-5</v>
      </c>
      <c r="JH5">
        <f t="shared" si="20"/>
        <v>3.7268539759439716E-5</v>
      </c>
      <c r="JI5">
        <f t="shared" si="20"/>
        <v>3.5217060506626516E-5</v>
      </c>
      <c r="JJ5">
        <f t="shared" si="20"/>
        <v>3.3278506717270935E-5</v>
      </c>
      <c r="JK5">
        <f t="shared" si="20"/>
        <v>3.1446662310815651E-5</v>
      </c>
      <c r="JL5">
        <f t="shared" si="20"/>
        <v>2.9715653376275341E-5</v>
      </c>
      <c r="JM5">
        <f t="shared" si="20"/>
        <v>2.8079929337214304E-5</v>
      </c>
      <c r="JN5">
        <f t="shared" si="20"/>
        <v>2.6534245153514433E-5</v>
      </c>
      <c r="JO5">
        <f t="shared" si="20"/>
        <v>2.5073644502862265E-5</v>
      </c>
      <c r="JP5">
        <f t="shared" si="20"/>
        <v>2.3693443888025805E-5</v>
      </c>
      <c r="JQ5">
        <f t="shared" si="20"/>
        <v>2.2389217618960167E-5</v>
      </c>
      <c r="JR5">
        <f t="shared" si="20"/>
        <v>2.1156783621586208E-5</v>
      </c>
      <c r="JS5">
        <f t="shared" si="20"/>
        <v>1.9992190027737426E-5</v>
      </c>
      <c r="JT5">
        <f t="shared" si="20"/>
        <v>1.8891702503274823E-5</v>
      </c>
      <c r="JU5">
        <f t="shared" si="20"/>
        <v>1.7851792273736754E-5</v>
      </c>
      <c r="JV5">
        <f t="shared" si="20"/>
        <v>1.6869124809127389E-5</v>
      </c>
      <c r="JW5">
        <f t="shared" si="20"/>
        <v>1.5940549131560746E-5</v>
      </c>
      <c r="JX5">
        <f t="shared" ref="JX5:KR5" si="21">+JX4/(1+$B$1)^JX3</f>
        <v>1.5063087711474832E-5</v>
      </c>
      <c r="JY5">
        <f t="shared" si="21"/>
        <v>1.4233926920017501E-5</v>
      </c>
      <c r="JZ5">
        <f t="shared" si="21"/>
        <v>1.3450408006989014E-5</v>
      </c>
      <c r="KA5">
        <f t="shared" si="21"/>
        <v>1.2710018575411637E-5</v>
      </c>
      <c r="KB5">
        <f t="shared" si="21"/>
        <v>1.2010384525388979E-5</v>
      </c>
      <c r="KC5">
        <f t="shared" si="21"/>
        <v>1.1349262441422612E-5</v>
      </c>
      <c r="KD5">
        <f t="shared" si="21"/>
        <v>1.0724532398775495E-5</v>
      </c>
      <c r="KE5">
        <f t="shared" si="21"/>
        <v>1.0134191165815375E-5</v>
      </c>
      <c r="KF5">
        <f t="shared" si="21"/>
        <v>9.5763457805411369E-6</v>
      </c>
      <c r="KG5">
        <f t="shared" si="21"/>
        <v>9.0492074806948335E-6</v>
      </c>
      <c r="KH5">
        <f t="shared" si="21"/>
        <v>8.551085967996036E-6</v>
      </c>
      <c r="KI5">
        <f t="shared" si="21"/>
        <v>8.0803839881063455E-6</v>
      </c>
      <c r="KJ5">
        <f t="shared" si="21"/>
        <v>7.6355922089445272E-6</v>
      </c>
      <c r="KK5">
        <f t="shared" si="21"/>
        <v>7.2152843809292348E-6</v>
      </c>
      <c r="KL5">
        <f t="shared" si="21"/>
        <v>6.8181127636303761E-6</v>
      </c>
      <c r="KM5">
        <f t="shared" si="21"/>
        <v>6.4428038041644838E-6</v>
      </c>
      <c r="KN5">
        <f t="shared" si="21"/>
        <v>6.0881540534765302E-6</v>
      </c>
      <c r="KO5">
        <f t="shared" si="21"/>
        <v>5.7530263074136016E-6</v>
      </c>
      <c r="KP5">
        <f t="shared" si="21"/>
        <v>5.4363459602165226E-6</v>
      </c>
      <c r="KQ5">
        <f t="shared" si="21"/>
        <v>5.1370975587367138E-6</v>
      </c>
      <c r="KR5">
        <f t="shared" si="21"/>
        <v>4.8543215463291878E-6</v>
      </c>
    </row>
    <row r="7" spans="1:304" x14ac:dyDescent="0.25">
      <c r="D7">
        <f>+SUM(D5:KR5)</f>
        <v>335.95522392941314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859E-ACA1-4A4C-BD97-D48F40E42BA3}">
  <dimension ref="A1:R11"/>
  <sheetViews>
    <sheetView workbookViewId="0">
      <selection activeCell="E25" sqref="E25"/>
    </sheetView>
  </sheetViews>
  <sheetFormatPr defaultRowHeight="15" x14ac:dyDescent="0.25"/>
  <cols>
    <col min="3" max="3" width="11.5703125" bestFit="1" customWidth="1"/>
  </cols>
  <sheetData>
    <row r="1" spans="1:18" x14ac:dyDescent="0.25">
      <c r="A1" t="s">
        <v>2</v>
      </c>
      <c r="B1" s="1">
        <v>0.09</v>
      </c>
    </row>
    <row r="2" spans="1:18" x14ac:dyDescent="0.25">
      <c r="A2" t="s">
        <v>3</v>
      </c>
      <c r="B2" s="1">
        <v>0.03</v>
      </c>
    </row>
    <row r="3" spans="1:18" x14ac:dyDescent="0.25">
      <c r="C3" t="s">
        <v>0</v>
      </c>
      <c r="D3">
        <v>0</v>
      </c>
      <c r="E3">
        <f t="shared" ref="E3:Q3" si="0">+D3+1</f>
        <v>1</v>
      </c>
      <c r="F3">
        <f t="shared" si="0"/>
        <v>2</v>
      </c>
      <c r="G3">
        <f t="shared" si="0"/>
        <v>3</v>
      </c>
      <c r="H3">
        <f t="shared" si="0"/>
        <v>4</v>
      </c>
      <c r="I3">
        <f t="shared" si="0"/>
        <v>5</v>
      </c>
      <c r="J3">
        <f t="shared" si="0"/>
        <v>6</v>
      </c>
      <c r="K3">
        <f t="shared" si="0"/>
        <v>7</v>
      </c>
      <c r="L3">
        <f t="shared" si="0"/>
        <v>8</v>
      </c>
      <c r="M3">
        <f t="shared" si="0"/>
        <v>9</v>
      </c>
      <c r="N3">
        <f t="shared" si="0"/>
        <v>10</v>
      </c>
      <c r="O3">
        <f t="shared" si="0"/>
        <v>11</v>
      </c>
      <c r="P3">
        <f t="shared" si="0"/>
        <v>12</v>
      </c>
      <c r="Q3">
        <f t="shared" si="0"/>
        <v>13</v>
      </c>
      <c r="R3" t="s">
        <v>5</v>
      </c>
    </row>
    <row r="4" spans="1:18" x14ac:dyDescent="0.25">
      <c r="C4" t="s">
        <v>1</v>
      </c>
      <c r="D4">
        <v>-700</v>
      </c>
      <c r="E4">
        <v>-700</v>
      </c>
      <c r="F4">
        <v>0</v>
      </c>
      <c r="G4">
        <v>100</v>
      </c>
      <c r="H4">
        <v>100</v>
      </c>
      <c r="I4">
        <v>100</v>
      </c>
      <c r="J4">
        <v>120</v>
      </c>
      <c r="K4">
        <v>120</v>
      </c>
      <c r="L4">
        <v>120</v>
      </c>
      <c r="M4">
        <v>160</v>
      </c>
      <c r="N4">
        <v>160</v>
      </c>
      <c r="O4">
        <v>160</v>
      </c>
      <c r="P4">
        <f>+O4*(1+$B$2)</f>
        <v>164.8</v>
      </c>
      <c r="Q4">
        <f>+P4*(1+$B$2)</f>
        <v>169.74400000000003</v>
      </c>
      <c r="R4" t="s">
        <v>5</v>
      </c>
    </row>
    <row r="5" spans="1:18" x14ac:dyDescent="0.25">
      <c r="C5" t="s">
        <v>8</v>
      </c>
      <c r="O5">
        <f>+P4/(B1-B2)</f>
        <v>2746.666666666667</v>
      </c>
    </row>
    <row r="6" spans="1:18" x14ac:dyDescent="0.25">
      <c r="C6" t="s">
        <v>9</v>
      </c>
      <c r="O6">
        <f>+O5/((1+$B$1)^O3)</f>
        <v>1064.4235623304212</v>
      </c>
    </row>
    <row r="8" spans="1:18" x14ac:dyDescent="0.25">
      <c r="C8" t="s">
        <v>6</v>
      </c>
      <c r="D8">
        <f t="shared" ref="D8:O8" si="1">+D4/((1+$B$1)^D3)</f>
        <v>-700</v>
      </c>
      <c r="E8">
        <f t="shared" si="1"/>
        <v>-642.20183486238523</v>
      </c>
      <c r="F8">
        <f t="shared" si="1"/>
        <v>0</v>
      </c>
      <c r="G8">
        <f t="shared" si="1"/>
        <v>77.21834800610641</v>
      </c>
      <c r="H8">
        <f t="shared" si="1"/>
        <v>70.842521106519641</v>
      </c>
      <c r="I8">
        <f t="shared" si="1"/>
        <v>64.993138629834533</v>
      </c>
      <c r="J8">
        <f t="shared" si="1"/>
        <v>71.552079225505892</v>
      </c>
      <c r="K8">
        <f t="shared" si="1"/>
        <v>65.644109381198078</v>
      </c>
      <c r="L8">
        <f t="shared" si="1"/>
        <v>60.22395356073217</v>
      </c>
      <c r="M8">
        <f t="shared" si="1"/>
        <v>73.668444722608157</v>
      </c>
      <c r="N8">
        <f t="shared" si="1"/>
        <v>67.585729103310229</v>
      </c>
      <c r="O8">
        <f>+O4/((1+$B$1)^O3)+O6</f>
        <v>1126.4288183885039</v>
      </c>
    </row>
    <row r="9" spans="1:18" x14ac:dyDescent="0.25">
      <c r="D9">
        <f>+SUM(D8:P8)</f>
        <v>335.95530726193374</v>
      </c>
    </row>
    <row r="11" spans="1:18" x14ac:dyDescent="0.25"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 Short Way</vt:lpstr>
      <vt:lpstr>The Long Way</vt:lpstr>
      <vt:lpstr>The Short Way 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Bowles, Boone</dc:creator>
  <cp:lastModifiedBy>Bowles, Boone</cp:lastModifiedBy>
  <dcterms:created xsi:type="dcterms:W3CDTF">2026-10-22T14:22:59Z</dcterms:created>
  <dcterms:modified xsi:type="dcterms:W3CDTF">2026-10-22T19:10:20Z</dcterms:modified>
</cp:coreProperties>
</file>