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10" yWindow="-110" windowWidth="23260" windowHeight="14860" tabRatio="660" firstSheet="0" activeTab="0" autoFilterDateGrouping="1"/>
  </bookViews>
  <sheets>
    <sheet name="United Airlines" sheetId="1" state="visible" r:id="rId1"/>
    <sheet name="Delta Airlines" sheetId="2" state="visible" r:id="rId2"/>
    <sheet name="American Airlines" sheetId="3" state="visible" r:id="rId3"/>
    <sheet name="Notes" sheetId="4" state="visible" r:id="rId4"/>
  </sheets>
  <definedNames>
    <definedName name="_xlnm.Print_Area" localSheetId="3">'Notes'!$A$1:$B$26</definedName>
    <definedName name="_xlnm.Print_Area" localSheetId="0">'United Airlines'!$A$1:$K$42</definedName>
    <definedName name="_xlnm.Print_Area" localSheetId="1">'Delta Airlines'!$A$1:$K$42</definedName>
    <definedName name="_xlnm.Print_Area" localSheetId="2">'American Airlines'!$A$1:$K$42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m/d/yyyy;@"/>
    <numFmt numFmtId="167" formatCode="#,##0.00000"/>
  </numFmts>
  <fonts count="6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Segoe UI"/>
      <family val="2"/>
      <color rgb="FF232A31"/>
      <sz val="7"/>
    </font>
    <font>
      <name val="Times New Roman"/>
      <family val="2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FF000000"/>
      </bottom>
    </border>
  </borders>
  <cellStyleXfs count="2">
    <xf numFmtId="0" fontId="3" fillId="0" borderId="0"/>
    <xf numFmtId="44" fontId="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4" fontId="0" fillId="0" borderId="5" pivotButton="0" quotePrefix="0" xfId="0"/>
    <xf numFmtId="165" fontId="0" fillId="0" borderId="0" pivotButton="0" quotePrefix="0" xfId="0"/>
    <xf numFmtId="165" fontId="0" fillId="0" borderId="5" pivotButton="0" quotePrefix="0" xfId="0"/>
    <xf numFmtId="2" fontId="0" fillId="0" borderId="0" pivotButton="0" quotePrefix="0" xfId="0"/>
    <xf numFmtId="1" fontId="0" fillId="0" borderId="0" pivotButton="0" quotePrefix="0" xfId="0"/>
    <xf numFmtId="2" fontId="0" fillId="0" borderId="5" pivotButton="0" quotePrefix="0" xfId="0"/>
    <xf numFmtId="0" fontId="0" fillId="2" borderId="5" pivotButton="0" quotePrefix="0" xfId="0"/>
    <xf numFmtId="0" fontId="0" fillId="2" borderId="7" pivotButton="0" quotePrefix="0" xfId="0"/>
    <xf numFmtId="166" fontId="0" fillId="0" borderId="1" pivotButton="0" quotePrefix="0" xfId="0"/>
    <xf numFmtId="166" fontId="0" fillId="0" borderId="7" pivotButton="0" quotePrefix="0" xfId="0"/>
    <xf numFmtId="166" fontId="0" fillId="0" borderId="9" pivotButton="0" quotePrefix="0" xfId="0"/>
    <xf numFmtId="166" fontId="0" fillId="0" borderId="10" pivotButton="0" quotePrefix="0" xfId="0"/>
    <xf numFmtId="14" fontId="0" fillId="0" borderId="0" pivotButton="0" quotePrefix="0" xfId="0"/>
    <xf numFmtId="4" fontId="2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left"/>
    </xf>
    <xf numFmtId="0" fontId="0" fillId="0" borderId="5" pivotButton="0" quotePrefix="0" xfId="0"/>
    <xf numFmtId="164" fontId="0" fillId="0" borderId="0" pivotButton="0" quotePrefix="0" xfId="1"/>
    <xf numFmtId="164" fontId="0" fillId="0" borderId="3" pivotButton="0" quotePrefix="0" xfId="0"/>
    <xf numFmtId="164" fontId="0" fillId="0" borderId="5" pivotButton="0" quotePrefix="0" xfId="1"/>
    <xf numFmtId="164" fontId="0" fillId="0" borderId="1" pivotButton="0" quotePrefix="0" xfId="1"/>
    <xf numFmtId="164" fontId="0" fillId="0" borderId="7" pivotButton="0" quotePrefix="0" xfId="1"/>
    <xf numFmtId="164" fontId="0" fillId="0" borderId="1" pivotButton="0" quotePrefix="0" xfId="0"/>
    <xf numFmtId="164" fontId="0" fillId="0" borderId="7" pivotButton="0" quotePrefix="0" xfId="0"/>
    <xf numFmtId="1" fontId="0" fillId="0" borderId="5" pivotButton="0" quotePrefix="0" xfId="0"/>
    <xf numFmtId="0" fontId="0" fillId="0" borderId="2" pivotButton="0" quotePrefix="0" xfId="0"/>
    <xf numFmtId="2" fontId="0" fillId="0" borderId="1" pivotButton="0" quotePrefix="0" xfId="0"/>
    <xf numFmtId="2" fontId="0" fillId="0" borderId="7" pivotButton="0" quotePrefix="0" xfId="0"/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167" fontId="0" fillId="0" borderId="0" pivotButton="0" quotePrefix="0" xfId="0"/>
    <xf numFmtId="167" fontId="0" fillId="0" borderId="3" pivotButton="0" quotePrefix="0" xfId="0"/>
    <xf numFmtId="0" fontId="1" fillId="0" borderId="11" applyAlignment="1" pivotButton="0" quotePrefix="0" xfId="0">
      <alignment horizontal="left"/>
    </xf>
    <xf numFmtId="0" fontId="0" fillId="0" borderId="3" pivotButton="0" quotePrefix="0" xfId="0"/>
    <xf numFmtId="0" fontId="0" fillId="0" borderId="13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166" fontId="0" fillId="0" borderId="1" pivotButton="0" quotePrefix="0" xfId="0"/>
    <xf numFmtId="166" fontId="0" fillId="0" borderId="7" pivotButton="0" quotePrefix="0" xfId="0"/>
    <xf numFmtId="166" fontId="0" fillId="0" borderId="9" pivotButton="0" quotePrefix="0" xfId="0"/>
    <xf numFmtId="166" fontId="0" fillId="0" borderId="10" pivotButton="0" quotePrefix="0" xfId="0"/>
    <xf numFmtId="167" fontId="0" fillId="0" borderId="0" pivotButton="0" quotePrefix="0" xfId="0"/>
    <xf numFmtId="167" fontId="0" fillId="0" borderId="3" pivotButton="0" quotePrefix="0" xfId="0"/>
    <xf numFmtId="0" fontId="0" fillId="0" borderId="1" pivotButton="0" quotePrefix="0" xfId="0"/>
    <xf numFmtId="0" fontId="4" fillId="0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finance.yahoo.com/quote/UAL/financials/" TargetMode="External" Id="rId1" /><Relationship Type="http://schemas.openxmlformats.org/officeDocument/2006/relationships/hyperlink" Target="https://finance.yahoo.com/quote/UAL/balance-sheet/" TargetMode="External" Id="rId2" /><Relationship Type="http://schemas.openxmlformats.org/officeDocument/2006/relationships/hyperlink" Target="https://finance.yahoo.com/quote/UAL/history/" TargetMode="External" Id="rId3" /><Relationship Type="http://schemas.openxmlformats.org/officeDocument/2006/relationships/hyperlink" Target="https://finance.yahoo.com/quote/DAL/financials/" TargetMode="External" Id="rId4" /><Relationship Type="http://schemas.openxmlformats.org/officeDocument/2006/relationships/hyperlink" Target="https://finance.yahoo.com/quote/DAL/balance-sheet/" TargetMode="External" Id="rId5" /><Relationship Type="http://schemas.openxmlformats.org/officeDocument/2006/relationships/hyperlink" Target="https://finance.yahoo.com/quote/DAL/history/" TargetMode="External" Id="rId6" /><Relationship Type="http://schemas.openxmlformats.org/officeDocument/2006/relationships/hyperlink" Target="https://finance.yahoo.com/quote/AAL/financials/" TargetMode="External" Id="rId7" /><Relationship Type="http://schemas.openxmlformats.org/officeDocument/2006/relationships/hyperlink" Target="https://finance.yahoo.com/quote/AAL/balance-sheet/" TargetMode="External" Id="rId8" /><Relationship Type="http://schemas.openxmlformats.org/officeDocument/2006/relationships/hyperlink" Target="https://finance.yahoo.com/quote/AAL/history/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tabSelected="1" workbookViewId="0" topLeftCell="A1">
      <selection activeCell="A1" sqref="A1"/>
    </sheetView>
  </sheetViews>
  <sheetFormatPr baseColWidth="8" defaultRowHeight="15.5"/>
  <cols>
    <col width="5.9140625" bestFit="1" customWidth="1" min="1" max="1"/>
    <col width="20.9140625" customWidth="1" style="43" min="2" max="2"/>
    <col width="4.5" customWidth="1" min="3" max="3"/>
    <col width="11.08203125" bestFit="1" customWidth="1" min="4" max="6"/>
    <col width="21.25" bestFit="1" customWidth="1" min="8" max="8"/>
    <col width="10.08203125" bestFit="1" customWidth="1" min="9" max="11"/>
  </cols>
  <sheetData>
    <row r="1">
      <c r="A1" s="48" t="inlineStr">
        <is>
          <t>United Airlines Holdings Inc</t>
        </is>
      </c>
      <c r="B1" s="49" t="n"/>
    </row>
    <row r="2">
      <c r="A2" s="2" t="inlineStr">
        <is>
          <t>Ticker</t>
        </is>
      </c>
      <c r="B2" s="3" t="inlineStr">
        <is>
          <t>UAL</t>
        </is>
      </c>
    </row>
    <row r="3">
      <c r="A3" s="2" t="inlineStr">
        <is>
          <t>CIK#</t>
        </is>
      </c>
      <c r="B3" s="3" t="n">
        <v>100517</v>
      </c>
    </row>
    <row r="4">
      <c r="A4" s="4" t="inlineStr">
        <is>
          <t>SIC</t>
        </is>
      </c>
      <c r="B4" s="5" t="n">
        <v>4512</v>
      </c>
    </row>
    <row r="5"/>
    <row r="6">
      <c r="A6" s="50" t="inlineStr">
        <is>
          <t>Key Income Statement Information (in millions)</t>
        </is>
      </c>
      <c r="B6" s="51" t="n"/>
      <c r="C6" s="51" t="n"/>
      <c r="D6" s="51" t="n"/>
      <c r="E6" s="51" t="n"/>
      <c r="F6" s="52" t="n"/>
      <c r="H6" s="50" t="inlineStr">
        <is>
          <t>Key Statistics</t>
        </is>
      </c>
      <c r="I6" s="51" t="n"/>
      <c r="J6" s="51" t="n"/>
      <c r="K6" s="52" t="n"/>
    </row>
    <row r="7">
      <c r="A7" s="42" t="inlineStr">
        <is>
          <t>for the year ended:</t>
        </is>
      </c>
      <c r="D7" s="53" t="n">
        <v>46022</v>
      </c>
      <c r="E7" s="53">
        <f>DATE(YEAR(D7)-1,12,31)</f>
        <v>45657.0</v>
      </c>
      <c r="F7" s="54">
        <f>DATE(YEAR(E7)-1,12,31)</f>
        <v>45291.0</v>
      </c>
      <c r="H7" s="2" t="n"/>
      <c r="I7" s="55">
        <f>D7</f>
        <v>46022.0</v>
      </c>
      <c r="J7" s="55">
        <f>E7</f>
        <v>45657.0</v>
      </c>
      <c r="K7" s="56">
        <f>F7</f>
        <v>45291.0</v>
      </c>
    </row>
    <row r="8">
      <c r="A8" s="38" t="inlineStr">
        <is>
          <t>Revenue</t>
        </is>
      </c>
      <c r="D8" s="7" t="n"/>
      <c r="E8" s="7" t="n"/>
      <c r="F8" s="8" t="n"/>
      <c r="H8" s="2" t="inlineStr">
        <is>
          <t>Shares Outstanding (mil.)</t>
        </is>
      </c>
      <c r="I8" s="57" t="n"/>
      <c r="J8" s="57" t="n"/>
      <c r="K8" s="58" t="n"/>
    </row>
    <row r="9">
      <c r="A9" s="38" t="inlineStr">
        <is>
          <t>Depreciation &amp; Amortization (Note 1)</t>
        </is>
      </c>
      <c r="D9" s="24" t="n"/>
      <c r="E9" s="24" t="n"/>
      <c r="F9" s="26" t="n"/>
      <c r="H9" s="2" t="inlineStr">
        <is>
          <t>Share Price (Note 6)</t>
        </is>
      </c>
      <c r="I9" s="9" t="n"/>
      <c r="J9" s="9" t="n"/>
      <c r="K9" s="10" t="n"/>
    </row>
    <row r="10">
      <c r="A10" s="38" t="inlineStr">
        <is>
          <t>Fuel Expenses</t>
        </is>
      </c>
      <c r="D10" s="24" t="n"/>
      <c r="E10" s="24" t="n"/>
      <c r="F10" s="26" t="n"/>
      <c r="H10" s="2" t="inlineStr">
        <is>
          <t>Market Cap (mil.)</t>
        </is>
      </c>
      <c r="I10" s="7" t="n"/>
      <c r="J10" s="7" t="n"/>
      <c r="K10" s="8" t="n"/>
    </row>
    <row r="11">
      <c r="A11" s="38" t="inlineStr">
        <is>
          <t>Total Expenses (Yahoo) (Note 2)</t>
        </is>
      </c>
      <c r="D11" s="24" t="n"/>
      <c r="E11" s="24" t="n"/>
      <c r="F11" s="26" t="n"/>
      <c r="H11" s="2" t="inlineStr">
        <is>
          <t>Enterprise Value (mil.)</t>
        </is>
      </c>
      <c r="I11" s="7" t="n"/>
      <c r="J11" s="7" t="n"/>
      <c r="K11" s="8" t="n"/>
    </row>
    <row r="12">
      <c r="A12" s="38" t="inlineStr">
        <is>
          <t>Interest Expense (gross)</t>
        </is>
      </c>
      <c r="D12" s="24" t="n"/>
      <c r="E12" s="24" t="n"/>
      <c r="F12" s="26" t="n"/>
      <c r="H12" s="2" t="inlineStr">
        <is>
          <t>EBIT Margin</t>
        </is>
      </c>
      <c r="I12" s="11" t="n"/>
      <c r="J12" s="11" t="n"/>
      <c r="K12" s="13" t="n"/>
    </row>
    <row r="13">
      <c r="A13" s="38" t="inlineStr">
        <is>
          <t>Income Tax (Benefit) (Note 3)</t>
        </is>
      </c>
      <c r="D13" s="24" t="n"/>
      <c r="E13" s="24" t="n"/>
      <c r="F13" s="26" t="n"/>
      <c r="H13" s="2" t="inlineStr">
        <is>
          <t>Net Profit Margin</t>
        </is>
      </c>
      <c r="I13" s="11" t="n"/>
      <c r="J13" s="11" t="n"/>
      <c r="K13" s="13" t="n"/>
      <c r="M13" s="21" t="n"/>
    </row>
    <row r="14">
      <c r="A14" s="38" t="inlineStr">
        <is>
          <t>Net Income (Note 4)</t>
        </is>
      </c>
      <c r="D14" s="24" t="n"/>
      <c r="E14" s="24" t="n"/>
      <c r="F14" s="26" t="n"/>
      <c r="H14" s="2" t="inlineStr">
        <is>
          <t>Current Ratio</t>
        </is>
      </c>
      <c r="I14" s="11" t="n"/>
      <c r="J14" s="11" t="n"/>
      <c r="K14" s="13" t="n"/>
      <c r="M14" s="21" t="n"/>
    </row>
    <row r="15">
      <c r="A15" s="40" t="inlineStr">
        <is>
          <t>EBIT</t>
        </is>
      </c>
      <c r="B15" s="59" t="n"/>
      <c r="C15" s="59" t="n"/>
      <c r="D15" s="29" t="n"/>
      <c r="E15" s="29" t="n"/>
      <c r="F15" s="30" t="n"/>
      <c r="H15" s="2" t="inlineStr">
        <is>
          <t>Quick Ratio</t>
        </is>
      </c>
      <c r="I15" s="11" t="n"/>
      <c r="J15" s="11" t="n"/>
      <c r="K15" s="13" t="n"/>
      <c r="M15" s="21" t="n"/>
    </row>
    <row r="16">
      <c r="A16" s="39" t="n"/>
      <c r="B16" s="39" t="n"/>
      <c r="C16" s="39" t="n"/>
      <c r="H16" s="2" t="inlineStr">
        <is>
          <t>AR Days</t>
        </is>
      </c>
      <c r="I16" s="12" t="n"/>
      <c r="J16" s="12" t="n"/>
      <c r="K16" s="31" t="n"/>
      <c r="M16" s="21" t="n"/>
    </row>
    <row r="17">
      <c r="A17" s="50" t="inlineStr">
        <is>
          <t>Key Balance Sheet Information (in millions)</t>
        </is>
      </c>
      <c r="B17" s="51" t="n"/>
      <c r="C17" s="51" t="n"/>
      <c r="D17" s="51" t="n"/>
      <c r="E17" s="51" t="n"/>
      <c r="F17" s="52" t="n"/>
      <c r="H17" s="2" t="inlineStr">
        <is>
          <t>Debt-to-Equity (Book)</t>
        </is>
      </c>
      <c r="I17" s="11" t="n"/>
      <c r="J17" s="11" t="n"/>
      <c r="K17" s="13" t="n"/>
    </row>
    <row r="18">
      <c r="A18" s="42" t="inlineStr">
        <is>
          <t>as of:</t>
        </is>
      </c>
      <c r="D18" s="53">
        <f>D7</f>
        <v>46022.0</v>
      </c>
      <c r="E18" s="53">
        <f>E7</f>
        <v>45657.0</v>
      </c>
      <c r="F18" s="54">
        <f>F7</f>
        <v>45291.0</v>
      </c>
      <c r="H18" s="2" t="inlineStr">
        <is>
          <t>Debt-to-Equity (Mkt)</t>
        </is>
      </c>
      <c r="I18" s="11" t="n"/>
      <c r="J18" s="11" t="n"/>
      <c r="K18" s="13" t="n"/>
    </row>
    <row r="19">
      <c r="A19" s="38" t="inlineStr">
        <is>
          <t>Cash</t>
        </is>
      </c>
      <c r="D19" s="24" t="n"/>
      <c r="E19" s="7" t="n"/>
      <c r="F19" s="25" t="n"/>
      <c r="H19" s="2" t="inlineStr">
        <is>
          <t>Market-to-Book</t>
        </is>
      </c>
      <c r="I19" s="11" t="n"/>
      <c r="J19" s="11" t="n"/>
      <c r="K19" s="13" t="n"/>
    </row>
    <row r="20">
      <c r="A20" s="38" t="inlineStr">
        <is>
          <t>Short-term investments (Note 5)</t>
        </is>
      </c>
      <c r="D20" s="24" t="n"/>
      <c r="E20" s="24" t="n"/>
      <c r="F20" s="26" t="n"/>
      <c r="H20" s="2" t="inlineStr">
        <is>
          <t>Price Earnings Ratio</t>
        </is>
      </c>
      <c r="I20" s="11" t="n"/>
      <c r="J20" s="11" t="n"/>
      <c r="K20" s="13" t="n"/>
    </row>
    <row r="21">
      <c r="A21" s="38" t="inlineStr">
        <is>
          <t>Accounts receivable, net</t>
        </is>
      </c>
      <c r="D21" s="24" t="n"/>
      <c r="E21" s="24" t="n"/>
      <c r="F21" s="26" t="n"/>
      <c r="H21" s="2" t="inlineStr">
        <is>
          <t>Asset Turnover (Book)</t>
        </is>
      </c>
      <c r="I21" s="11" t="n"/>
      <c r="J21" s="11" t="n"/>
      <c r="K21" s="13" t="n"/>
    </row>
    <row r="22">
      <c r="A22" s="38" t="inlineStr">
        <is>
          <t>Total Current Assets</t>
        </is>
      </c>
      <c r="D22" s="24" t="n"/>
      <c r="E22" s="24" t="n"/>
      <c r="F22" s="26" t="n"/>
      <c r="H22" s="2" t="inlineStr">
        <is>
          <t>Asset Turnover (Mkt)</t>
        </is>
      </c>
      <c r="I22" s="11" t="n"/>
      <c r="J22" s="11" t="n"/>
      <c r="K22" s="13" t="n"/>
    </row>
    <row r="23">
      <c r="A23" s="38" t="inlineStr">
        <is>
          <t>Net PP&amp;E</t>
        </is>
      </c>
      <c r="D23" s="24" t="n"/>
      <c r="E23" s="24" t="n"/>
      <c r="F23" s="26" t="n"/>
      <c r="H23" s="2" t="inlineStr">
        <is>
          <t>Return on Equity (Book)</t>
        </is>
      </c>
      <c r="I23" s="11" t="n"/>
      <c r="J23" s="11" t="n"/>
      <c r="K23" s="13" t="n"/>
    </row>
    <row r="24">
      <c r="A24" s="38" t="inlineStr">
        <is>
          <t>Total Assets</t>
        </is>
      </c>
      <c r="D24" s="24" t="n"/>
      <c r="E24" s="24" t="n"/>
      <c r="F24" s="26" t="n"/>
      <c r="H24" s="2" t="inlineStr">
        <is>
          <t>Return on Equity (Mkt)</t>
        </is>
      </c>
      <c r="I24" s="11" t="n"/>
      <c r="J24" s="11" t="n"/>
      <c r="K24" s="13" t="n"/>
    </row>
    <row r="25">
      <c r="A25" s="38" t="inlineStr">
        <is>
          <t>Total Current Liabilities</t>
        </is>
      </c>
      <c r="D25" s="24" t="n"/>
      <c r="E25" s="24" t="n"/>
      <c r="F25" s="26" t="n"/>
      <c r="H25" s="2" t="inlineStr">
        <is>
          <t>Return on Assets (Book)</t>
        </is>
      </c>
      <c r="I25" s="11" t="n"/>
      <c r="J25" s="11" t="n"/>
      <c r="K25" s="13" t="n"/>
    </row>
    <row r="26">
      <c r="A26" s="38" t="inlineStr">
        <is>
          <t>Total Liabilities</t>
        </is>
      </c>
      <c r="D26" s="24" t="n"/>
      <c r="E26" s="24" t="n"/>
      <c r="F26" s="26" t="n"/>
      <c r="H26" s="2" t="inlineStr">
        <is>
          <t>Return on Assets (Mkt)</t>
        </is>
      </c>
      <c r="I26" s="11" t="n"/>
      <c r="J26" s="11" t="n"/>
      <c r="K26" s="13" t="n"/>
    </row>
    <row r="27">
      <c r="A27" s="38" t="inlineStr">
        <is>
          <t>Total Debt</t>
        </is>
      </c>
      <c r="B27" s="39" t="n"/>
      <c r="C27" s="39" t="n"/>
      <c r="D27" s="24" t="n"/>
      <c r="E27" s="24" t="n"/>
      <c r="F27" s="26" t="n"/>
      <c r="H27" s="2" t="inlineStr">
        <is>
          <t>NOPAT</t>
        </is>
      </c>
      <c r="I27" s="7" t="n"/>
      <c r="J27" s="7" t="n"/>
      <c r="K27" s="14" t="n"/>
    </row>
    <row r="28">
      <c r="A28" s="40" t="inlineStr">
        <is>
          <t>Total Stockholders' Equity</t>
        </is>
      </c>
      <c r="B28" s="59" t="n"/>
      <c r="C28" s="59" t="n"/>
      <c r="D28" s="27" t="n"/>
      <c r="E28" s="27" t="n"/>
      <c r="F28" s="28" t="n"/>
      <c r="H28" s="2" t="inlineStr">
        <is>
          <t>Increase in NFA</t>
        </is>
      </c>
      <c r="I28" s="7" t="n"/>
      <c r="J28" s="7" t="n"/>
      <c r="K28" s="14" t="n"/>
    </row>
    <row r="29">
      <c r="H29" s="2" t="inlineStr">
        <is>
          <t>Increase in NWC</t>
        </is>
      </c>
      <c r="I29" s="7" t="n"/>
      <c r="J29" s="7" t="n"/>
      <c r="K29" s="14" t="n"/>
    </row>
    <row r="30">
      <c r="A30" t="inlineStr">
        <is>
          <t>Note 1. Yahoo "Reconciled Depreciation."</t>
        </is>
      </c>
      <c r="H30" s="4" t="inlineStr">
        <is>
          <t>Free Cash Flow</t>
        </is>
      </c>
      <c r="I30" s="29" t="n"/>
      <c r="J30" s="29" t="n"/>
      <c r="K30" s="15" t="n"/>
    </row>
    <row r="31">
      <c r="A31" t="inlineStr">
        <is>
          <t>Note 2. Yahoo "Total Expenses," not "Operating Expense."</t>
        </is>
      </c>
    </row>
    <row r="32">
      <c r="A32" t="inlineStr">
        <is>
          <t>Note 3. Yahoo "Tax Provision"; retain tax benefits.</t>
        </is>
      </c>
      <c r="H32" s="50" t="inlineStr">
        <is>
          <t>DuPont Analysis</t>
        </is>
      </c>
      <c r="I32" s="51" t="n"/>
      <c r="J32" s="51" t="n"/>
      <c r="K32" s="52" t="n"/>
    </row>
    <row r="33">
      <c r="A33" t="inlineStr">
        <is>
          <t>Note 4. Yahoo "Net Income," not adjusted income.</t>
        </is>
      </c>
      <c r="H33" s="32" t="n"/>
      <c r="I33" s="55">
        <f>D7</f>
        <v>46022.0</v>
      </c>
      <c r="J33" s="55">
        <f>E7</f>
        <v>45657.0</v>
      </c>
      <c r="K33" s="56">
        <f>F7</f>
        <v>45291.0</v>
      </c>
    </row>
    <row r="34">
      <c r="A34" t="inlineStr">
        <is>
          <t>Note 5. Yahoo "Other Short Term Investments."</t>
        </is>
      </c>
      <c r="H34" s="2" t="inlineStr">
        <is>
          <t>Net Profit Margin</t>
        </is>
      </c>
      <c r="I34" s="11" t="n"/>
      <c r="J34" s="11" t="n"/>
      <c r="K34" s="13" t="n"/>
    </row>
    <row r="35">
      <c r="A35" t="inlineStr">
        <is>
          <t>Note 6. Year-end Adjusted Close; see Notes tab.</t>
        </is>
      </c>
      <c r="H35" s="2" t="inlineStr">
        <is>
          <t>Asset Turnover (Book)</t>
        </is>
      </c>
      <c r="I35" s="11" t="n"/>
      <c r="J35" s="11" t="n"/>
      <c r="K35" s="13" t="n"/>
    </row>
    <row r="36">
      <c r="H36" s="2" t="inlineStr">
        <is>
          <t>Equity Multiplier (Book)</t>
        </is>
      </c>
      <c r="I36" s="11" t="n"/>
      <c r="J36" s="11" t="n"/>
      <c r="K36" s="13" t="n"/>
    </row>
    <row r="37">
      <c r="H37" s="2" t="inlineStr">
        <is>
          <t>DuPont ROE (Book)</t>
        </is>
      </c>
      <c r="I37" s="11" t="n"/>
      <c r="J37" s="11" t="n"/>
      <c r="K37" s="13" t="n"/>
    </row>
    <row r="38">
      <c r="H38" s="2" t="n"/>
      <c r="K38" s="23" t="n"/>
    </row>
    <row r="39">
      <c r="H39" s="2" t="inlineStr">
        <is>
          <t>Net Profit Margin</t>
        </is>
      </c>
      <c r="I39" s="11" t="n"/>
      <c r="J39" s="11" t="n"/>
      <c r="K39" s="13" t="n"/>
    </row>
    <row r="40">
      <c r="H40" s="2" t="inlineStr">
        <is>
          <t>Asset Turnover (Mkt)</t>
        </is>
      </c>
      <c r="I40" s="11" t="n"/>
      <c r="J40" s="11" t="n"/>
      <c r="K40" s="13" t="n"/>
    </row>
    <row r="41">
      <c r="H41" s="2" t="inlineStr">
        <is>
          <t>Equity Multiplier (Mkt)</t>
        </is>
      </c>
      <c r="I41" s="11" t="n"/>
      <c r="J41" s="11" t="n"/>
      <c r="K41" s="13" t="n"/>
    </row>
    <row r="42">
      <c r="H42" s="4" t="inlineStr">
        <is>
          <t>DuPont ROE (Mkt)</t>
        </is>
      </c>
      <c r="I42" s="33" t="n"/>
      <c r="J42" s="33" t="n"/>
      <c r="K42" s="34" t="n"/>
    </row>
  </sheetData>
  <mergeCells count="24">
    <mergeCell ref="A25:C25"/>
    <mergeCell ref="A18:C18"/>
    <mergeCell ref="A21:C21"/>
    <mergeCell ref="A1:B1"/>
    <mergeCell ref="A12:C12"/>
    <mergeCell ref="A26:C26"/>
    <mergeCell ref="A23:C23"/>
    <mergeCell ref="A8:C8"/>
    <mergeCell ref="A14:C14"/>
    <mergeCell ref="A22:C22"/>
    <mergeCell ref="A17:F17"/>
    <mergeCell ref="A20:C20"/>
    <mergeCell ref="A10:C10"/>
    <mergeCell ref="A28:C28"/>
    <mergeCell ref="A13:C13"/>
    <mergeCell ref="A19:C19"/>
    <mergeCell ref="A9:C9"/>
    <mergeCell ref="H6:K6"/>
    <mergeCell ref="A15:C15"/>
    <mergeCell ref="A24:C24"/>
    <mergeCell ref="A11:C11"/>
    <mergeCell ref="A6:F6"/>
    <mergeCell ref="H32:K32"/>
    <mergeCell ref="A7:C7"/>
  </mergeCells>
  <pageMargins left="0.3" right="0.3" top="0.3" bottom="0.3" header="0.3" footer="0.3"/>
  <pageSetup orientation="landscape" paperSize="1" fitToWidth="1" fitToHeight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workbookViewId="0" topLeftCell="A1">
      <selection activeCell="A1" sqref="A1"/>
    </sheetView>
  </sheetViews>
  <sheetFormatPr baseColWidth="8" defaultRowHeight="15.5"/>
  <cols>
    <col width="5.9140625" bestFit="1" customWidth="1" min="1" max="1"/>
    <col width="20.9140625" customWidth="1" style="43" min="2" max="2"/>
    <col width="4.5" customWidth="1" min="3" max="3"/>
    <col width="11.08203125" bestFit="1" customWidth="1" min="4" max="6"/>
    <col width="21.25" bestFit="1" customWidth="1" min="8" max="8"/>
    <col width="10.08203125" bestFit="1" customWidth="1" min="9" max="11"/>
    <col width="9.9140625" bestFit="1" customWidth="1" min="12" max="12"/>
  </cols>
  <sheetData>
    <row r="1">
      <c r="A1" s="48" t="inlineStr">
        <is>
          <t>Delta Air Lines Inc</t>
        </is>
      </c>
      <c r="B1" s="49" t="n"/>
    </row>
    <row r="2">
      <c r="A2" s="2" t="inlineStr">
        <is>
          <t>Ticker</t>
        </is>
      </c>
      <c r="B2" s="3" t="inlineStr">
        <is>
          <t>DAL</t>
        </is>
      </c>
    </row>
    <row r="3">
      <c r="A3" s="2" t="inlineStr">
        <is>
          <t>CIK#</t>
        </is>
      </c>
      <c r="B3" s="3" t="n">
        <v>27904</v>
      </c>
    </row>
    <row r="4">
      <c r="A4" s="4" t="inlineStr">
        <is>
          <t>SIC</t>
        </is>
      </c>
      <c r="B4" s="5" t="n">
        <v>4512</v>
      </c>
    </row>
    <row r="5"/>
    <row r="6">
      <c r="A6" s="50" t="inlineStr">
        <is>
          <t>Key Income Statement Information (in millions)</t>
        </is>
      </c>
      <c r="B6" s="51" t="n"/>
      <c r="C6" s="51" t="n"/>
      <c r="D6" s="51" t="n"/>
      <c r="E6" s="51" t="n"/>
      <c r="F6" s="52" t="n"/>
      <c r="H6" s="50" t="inlineStr">
        <is>
          <t>Key Statistics</t>
        </is>
      </c>
      <c r="I6" s="51" t="n"/>
      <c r="J6" s="51" t="n"/>
      <c r="K6" s="52" t="n"/>
    </row>
    <row r="7">
      <c r="A7" s="42" t="inlineStr">
        <is>
          <t>for the year ended:</t>
        </is>
      </c>
      <c r="D7" s="53" t="n">
        <v>46022</v>
      </c>
      <c r="E7" s="53">
        <f>DATE(YEAR(D7)-1,12,31)</f>
        <v>45657.0</v>
      </c>
      <c r="F7" s="54">
        <f>DATE(YEAR(E7)-1,12,31)</f>
        <v>45291.0</v>
      </c>
      <c r="H7" s="2" t="n"/>
      <c r="I7" s="55">
        <f>D7</f>
        <v>46022.0</v>
      </c>
      <c r="J7" s="55">
        <f>E7</f>
        <v>45657.0</v>
      </c>
      <c r="K7" s="56">
        <f>F7</f>
        <v>45291.0</v>
      </c>
      <c r="L7" s="20" t="n"/>
    </row>
    <row r="8">
      <c r="A8" s="38" t="inlineStr">
        <is>
          <t>Revenue</t>
        </is>
      </c>
      <c r="D8" s="7" t="n"/>
      <c r="E8" s="7" t="n"/>
      <c r="F8" s="8" t="n"/>
      <c r="H8" s="2" t="inlineStr">
        <is>
          <t>Shares Outstanding (mil.)</t>
        </is>
      </c>
      <c r="I8" s="57" t="n"/>
      <c r="J8" s="57" t="n"/>
      <c r="K8" s="58" t="n"/>
    </row>
    <row r="9">
      <c r="A9" s="38" t="inlineStr">
        <is>
          <t>Depreciation &amp; Amortization (Note 1)</t>
        </is>
      </c>
      <c r="D9" s="24" t="n"/>
      <c r="E9" s="24" t="n"/>
      <c r="F9" s="26" t="n"/>
      <c r="H9" s="2" t="inlineStr">
        <is>
          <t>Share Price (Note 6)</t>
        </is>
      </c>
      <c r="I9" s="9" t="n"/>
      <c r="J9" s="9" t="n"/>
      <c r="K9" s="10" t="n"/>
      <c r="M9" s="21" t="n"/>
    </row>
    <row r="10">
      <c r="A10" s="38" t="inlineStr">
        <is>
          <t>Fuel Expenses</t>
        </is>
      </c>
      <c r="D10" s="24" t="n"/>
      <c r="E10" s="24" t="n"/>
      <c r="F10" s="26" t="n"/>
      <c r="H10" s="2" t="inlineStr">
        <is>
          <t>Market Cap (mil.)</t>
        </is>
      </c>
      <c r="I10" s="7" t="n"/>
      <c r="J10" s="7" t="n"/>
      <c r="K10" s="8" t="n"/>
      <c r="M10" s="21" t="n"/>
    </row>
    <row r="11">
      <c r="A11" s="38" t="inlineStr">
        <is>
          <t>Total Expenses (Yahoo) (Note 2)</t>
        </is>
      </c>
      <c r="D11" s="24" t="n"/>
      <c r="E11" s="24" t="n"/>
      <c r="F11" s="26" t="n"/>
      <c r="H11" s="2" t="inlineStr">
        <is>
          <t>Enterprise Value (mil.)</t>
        </is>
      </c>
      <c r="I11" s="7" t="n"/>
      <c r="J11" s="7" t="n"/>
      <c r="K11" s="8" t="n"/>
      <c r="M11" s="21" t="n"/>
    </row>
    <row r="12">
      <c r="A12" s="38" t="inlineStr">
        <is>
          <t>Interest Expense (gross)</t>
        </is>
      </c>
      <c r="D12" s="24" t="n"/>
      <c r="E12" s="24" t="n"/>
      <c r="F12" s="26" t="n"/>
      <c r="H12" s="2" t="inlineStr">
        <is>
          <t>EBIT Margin</t>
        </is>
      </c>
      <c r="I12" s="11" t="n"/>
      <c r="J12" s="11" t="n"/>
      <c r="K12" s="13" t="n"/>
    </row>
    <row r="13">
      <c r="A13" s="38" t="inlineStr">
        <is>
          <t>Income Tax (Benefit) (Note 3)</t>
        </is>
      </c>
      <c r="D13" s="24" t="n"/>
      <c r="E13" s="24" t="n"/>
      <c r="F13" s="26" t="n"/>
      <c r="H13" s="2" t="inlineStr">
        <is>
          <t>Net Profit Margin</t>
        </is>
      </c>
      <c r="I13" s="11" t="n"/>
      <c r="J13" s="11" t="n"/>
      <c r="K13" s="13" t="n"/>
    </row>
    <row r="14">
      <c r="A14" s="38" t="inlineStr">
        <is>
          <t>Net Income (Note 4)</t>
        </is>
      </c>
      <c r="D14" s="24" t="n"/>
      <c r="E14" s="24" t="n"/>
      <c r="F14" s="26" t="n"/>
      <c r="H14" s="2" t="inlineStr">
        <is>
          <t>Current Ratio</t>
        </is>
      </c>
      <c r="I14" s="11" t="n"/>
      <c r="J14" s="11" t="n"/>
      <c r="K14" s="13" t="n"/>
    </row>
    <row r="15">
      <c r="A15" s="40" t="inlineStr">
        <is>
          <t>EBIT</t>
        </is>
      </c>
      <c r="B15" s="59" t="n"/>
      <c r="C15" s="59" t="n"/>
      <c r="D15" s="29" t="n"/>
      <c r="E15" s="29" t="n"/>
      <c r="F15" s="30" t="n"/>
      <c r="H15" s="2" t="inlineStr">
        <is>
          <t>Quick Ratio</t>
        </is>
      </c>
      <c r="I15" s="11" t="n"/>
      <c r="J15" s="11" t="n"/>
      <c r="K15" s="13" t="n"/>
    </row>
    <row r="16">
      <c r="A16" s="39" t="n"/>
      <c r="B16" s="39" t="n"/>
      <c r="C16" s="39" t="n"/>
      <c r="H16" s="2" t="inlineStr">
        <is>
          <t>AR Days</t>
        </is>
      </c>
      <c r="I16" s="12" t="n"/>
      <c r="J16" s="12" t="n"/>
      <c r="K16" s="31" t="n"/>
    </row>
    <row r="17">
      <c r="A17" s="50" t="inlineStr">
        <is>
          <t>Key Balance Sheet Information (in millions)</t>
        </is>
      </c>
      <c r="B17" s="51" t="n"/>
      <c r="C17" s="51" t="n"/>
      <c r="D17" s="51" t="n"/>
      <c r="E17" s="51" t="n"/>
      <c r="F17" s="52" t="n"/>
      <c r="H17" s="2" t="inlineStr">
        <is>
          <t>Debt-to-Equity (Book)</t>
        </is>
      </c>
      <c r="I17" s="11" t="n"/>
      <c r="J17" s="11" t="n"/>
      <c r="K17" s="13" t="n"/>
    </row>
    <row r="18">
      <c r="A18" s="42" t="inlineStr">
        <is>
          <t>as of:</t>
        </is>
      </c>
      <c r="D18" s="53">
        <f>D7</f>
        <v>46022.0</v>
      </c>
      <c r="E18" s="53">
        <f>E7</f>
        <v>45657.0</v>
      </c>
      <c r="F18" s="54">
        <f>F7</f>
        <v>45291.0</v>
      </c>
      <c r="H18" s="2" t="inlineStr">
        <is>
          <t>Debt-to-Equity (Mkt)</t>
        </is>
      </c>
      <c r="I18" s="11" t="n"/>
      <c r="J18" s="11" t="n"/>
      <c r="K18" s="13" t="n"/>
    </row>
    <row r="19">
      <c r="A19" s="38" t="inlineStr">
        <is>
          <t>Cash</t>
        </is>
      </c>
      <c r="D19" s="24" t="n"/>
      <c r="E19" s="7" t="n"/>
      <c r="F19" s="25" t="n"/>
      <c r="H19" s="2" t="inlineStr">
        <is>
          <t>Market-to-Book</t>
        </is>
      </c>
      <c r="I19" s="11" t="n"/>
      <c r="J19" s="11" t="n"/>
      <c r="K19" s="13" t="n"/>
    </row>
    <row r="20">
      <c r="A20" s="38" t="inlineStr">
        <is>
          <t>Short-term investments (Note 5)</t>
        </is>
      </c>
      <c r="D20" s="24" t="n"/>
      <c r="E20" s="24" t="n"/>
      <c r="F20" s="26" t="n"/>
      <c r="H20" s="2" t="inlineStr">
        <is>
          <t>Price Earnings Ratio</t>
        </is>
      </c>
      <c r="I20" s="11" t="n"/>
      <c r="J20" s="11" t="n"/>
      <c r="K20" s="13" t="n"/>
    </row>
    <row r="21">
      <c r="A21" s="38" t="inlineStr">
        <is>
          <t>Accounts receivable, net</t>
        </is>
      </c>
      <c r="D21" s="24" t="n"/>
      <c r="E21" s="24" t="n"/>
      <c r="F21" s="26" t="n"/>
      <c r="H21" s="2" t="inlineStr">
        <is>
          <t>Asset Turnover (Book)</t>
        </is>
      </c>
      <c r="I21" s="11" t="n"/>
      <c r="J21" s="11" t="n"/>
      <c r="K21" s="13" t="n"/>
    </row>
    <row r="22">
      <c r="A22" s="38" t="inlineStr">
        <is>
          <t>Total Current Assets</t>
        </is>
      </c>
      <c r="D22" s="24" t="n"/>
      <c r="E22" s="24" t="n"/>
      <c r="F22" s="26" t="n"/>
      <c r="H22" s="2" t="inlineStr">
        <is>
          <t>Asset Turnover (Mkt)</t>
        </is>
      </c>
      <c r="I22" s="11" t="n"/>
      <c r="J22" s="11" t="n"/>
      <c r="K22" s="13" t="n"/>
    </row>
    <row r="23">
      <c r="A23" s="38" t="inlineStr">
        <is>
          <t>Net PP&amp;E</t>
        </is>
      </c>
      <c r="D23" s="24" t="n"/>
      <c r="E23" s="24" t="n"/>
      <c r="F23" s="26" t="n"/>
      <c r="H23" s="2" t="inlineStr">
        <is>
          <t>Return on Equity (Book)</t>
        </is>
      </c>
      <c r="I23" s="11" t="n"/>
      <c r="J23" s="11" t="n"/>
      <c r="K23" s="13" t="n"/>
    </row>
    <row r="24">
      <c r="A24" s="38" t="inlineStr">
        <is>
          <t>Total Assets</t>
        </is>
      </c>
      <c r="D24" s="24" t="n"/>
      <c r="E24" s="24" t="n"/>
      <c r="F24" s="26" t="n"/>
      <c r="H24" s="2" t="inlineStr">
        <is>
          <t>Return on Equity (Mkt)</t>
        </is>
      </c>
      <c r="I24" s="11" t="n"/>
      <c r="J24" s="11" t="n"/>
      <c r="K24" s="13" t="n"/>
    </row>
    <row r="25">
      <c r="A25" s="38" t="inlineStr">
        <is>
          <t>Total Current Liabilities</t>
        </is>
      </c>
      <c r="D25" s="24" t="n"/>
      <c r="E25" s="24" t="n"/>
      <c r="F25" s="26" t="n"/>
      <c r="H25" s="2" t="inlineStr">
        <is>
          <t>Return on Assets (Book)</t>
        </is>
      </c>
      <c r="I25" s="11" t="n"/>
      <c r="J25" s="11" t="n"/>
      <c r="K25" s="13" t="n"/>
    </row>
    <row r="26">
      <c r="A26" s="38" t="inlineStr">
        <is>
          <t>Total Liabilities</t>
        </is>
      </c>
      <c r="D26" s="24" t="n"/>
      <c r="E26" s="24" t="n"/>
      <c r="F26" s="26" t="n"/>
      <c r="H26" s="2" t="inlineStr">
        <is>
          <t>Return on Assets (Mkt)</t>
        </is>
      </c>
      <c r="I26" s="11" t="n"/>
      <c r="J26" s="11" t="n"/>
      <c r="K26" s="13" t="n"/>
    </row>
    <row r="27">
      <c r="A27" s="38" t="inlineStr">
        <is>
          <t>Total Debt</t>
        </is>
      </c>
      <c r="B27" s="39" t="n"/>
      <c r="C27" s="39" t="n"/>
      <c r="D27" s="24" t="n"/>
      <c r="E27" s="24" t="n"/>
      <c r="F27" s="26" t="n"/>
      <c r="H27" s="2" t="inlineStr">
        <is>
          <t>NOPAT</t>
        </is>
      </c>
      <c r="I27" s="7" t="n"/>
      <c r="J27" s="7" t="n"/>
      <c r="K27" s="14" t="n"/>
    </row>
    <row r="28">
      <c r="A28" s="40" t="inlineStr">
        <is>
          <t>Total Stockholders' Equity</t>
        </is>
      </c>
      <c r="B28" s="59" t="n"/>
      <c r="C28" s="59" t="n"/>
      <c r="D28" s="27" t="n"/>
      <c r="E28" s="27" t="n"/>
      <c r="F28" s="28" t="n"/>
      <c r="H28" s="2" t="inlineStr">
        <is>
          <t>Increase in NFA</t>
        </is>
      </c>
      <c r="I28" s="7" t="n"/>
      <c r="J28" s="7" t="n"/>
      <c r="K28" s="14" t="n"/>
    </row>
    <row r="29">
      <c r="H29" s="2" t="inlineStr">
        <is>
          <t>Increase in NWC</t>
        </is>
      </c>
      <c r="I29" s="7" t="n"/>
      <c r="J29" s="7" t="n"/>
      <c r="K29" s="14" t="n"/>
    </row>
    <row r="30">
      <c r="A30" t="inlineStr">
        <is>
          <t>Note 1. Yahoo "Reconciled Depreciation."</t>
        </is>
      </c>
      <c r="H30" s="4" t="inlineStr">
        <is>
          <t>Free Cash Flow</t>
        </is>
      </c>
      <c r="I30" s="29" t="n"/>
      <c r="J30" s="29" t="n"/>
      <c r="K30" s="15" t="n"/>
    </row>
    <row r="31">
      <c r="A31" t="inlineStr">
        <is>
          <t>Note 2. Yahoo "Total Expenses," not "Operating Expense."</t>
        </is>
      </c>
    </row>
    <row r="32">
      <c r="A32" t="inlineStr">
        <is>
          <t>Note 3. Yahoo "Tax Provision"; retain tax benefits.</t>
        </is>
      </c>
      <c r="H32" s="50" t="inlineStr">
        <is>
          <t>DuPont Analysis</t>
        </is>
      </c>
      <c r="I32" s="51" t="n"/>
      <c r="J32" s="51" t="n"/>
      <c r="K32" s="52" t="n"/>
    </row>
    <row r="33">
      <c r="A33" t="inlineStr">
        <is>
          <t>Note 4. Yahoo "Net Income," not adjusted income.</t>
        </is>
      </c>
      <c r="H33" s="32" t="n"/>
      <c r="I33" s="55">
        <f>D7</f>
        <v>46022.0</v>
      </c>
      <c r="J33" s="55">
        <f>E7</f>
        <v>45657.0</v>
      </c>
      <c r="K33" s="56">
        <f>F7</f>
        <v>45291.0</v>
      </c>
    </row>
    <row r="34">
      <c r="A34" t="inlineStr">
        <is>
          <t>Note 5. Yahoo "Other Short Term Investments."</t>
        </is>
      </c>
      <c r="H34" s="2" t="inlineStr">
        <is>
          <t>Net Profit Margin</t>
        </is>
      </c>
      <c r="I34" s="11" t="n"/>
      <c r="J34" s="11" t="n"/>
      <c r="K34" s="13" t="n"/>
    </row>
    <row r="35">
      <c r="A35" t="inlineStr">
        <is>
          <t>Note 6. Year-end Adjusted Close; see Notes tab.</t>
        </is>
      </c>
      <c r="H35" s="2" t="inlineStr">
        <is>
          <t>Asset Turnover (Book)</t>
        </is>
      </c>
      <c r="I35" s="11" t="n"/>
      <c r="J35" s="11" t="n"/>
      <c r="K35" s="13" t="n"/>
    </row>
    <row r="36">
      <c r="H36" s="2" t="inlineStr">
        <is>
          <t>Equity Multiplier (Book)</t>
        </is>
      </c>
      <c r="I36" s="11" t="n"/>
      <c r="J36" s="11" t="n"/>
      <c r="K36" s="13" t="n"/>
    </row>
    <row r="37">
      <c r="H37" s="2" t="inlineStr">
        <is>
          <t>DuPont ROE (Book)</t>
        </is>
      </c>
      <c r="I37" s="11" t="n"/>
      <c r="J37" s="11" t="n"/>
      <c r="K37" s="13" t="n"/>
    </row>
    <row r="38">
      <c r="H38" s="2" t="n"/>
      <c r="K38" s="23" t="n"/>
    </row>
    <row r="39">
      <c r="H39" s="2" t="inlineStr">
        <is>
          <t>Net Profit Margin</t>
        </is>
      </c>
      <c r="I39" s="11" t="n"/>
      <c r="J39" s="11" t="n"/>
      <c r="K39" s="13" t="n"/>
    </row>
    <row r="40">
      <c r="H40" s="2" t="inlineStr">
        <is>
          <t>Asset Turnover (Mkt)</t>
        </is>
      </c>
      <c r="I40" s="11" t="n"/>
      <c r="J40" s="11" t="n"/>
      <c r="K40" s="13" t="n"/>
    </row>
    <row r="41">
      <c r="H41" s="2" t="inlineStr">
        <is>
          <t>Equity Multiplier (Mkt)</t>
        </is>
      </c>
      <c r="I41" s="11" t="n"/>
      <c r="J41" s="11" t="n"/>
      <c r="K41" s="13" t="n"/>
    </row>
    <row r="42">
      <c r="H42" s="4" t="inlineStr">
        <is>
          <t>DuPont ROE (Mkt)</t>
        </is>
      </c>
      <c r="I42" s="33" t="n"/>
      <c r="J42" s="33" t="n"/>
      <c r="K42" s="34" t="n"/>
    </row>
  </sheetData>
  <mergeCells count="24">
    <mergeCell ref="A25:C25"/>
    <mergeCell ref="A18:C18"/>
    <mergeCell ref="A21:C21"/>
    <mergeCell ref="A1:B1"/>
    <mergeCell ref="A12:C12"/>
    <mergeCell ref="A26:C26"/>
    <mergeCell ref="A23:C23"/>
    <mergeCell ref="A8:C8"/>
    <mergeCell ref="A14:C14"/>
    <mergeCell ref="A22:C22"/>
    <mergeCell ref="A17:F17"/>
    <mergeCell ref="A20:C20"/>
    <mergeCell ref="A10:C10"/>
    <mergeCell ref="A28:C28"/>
    <mergeCell ref="A13:C13"/>
    <mergeCell ref="A19:C19"/>
    <mergeCell ref="A9:C9"/>
    <mergeCell ref="H6:K6"/>
    <mergeCell ref="A15:C15"/>
    <mergeCell ref="A24:C24"/>
    <mergeCell ref="A11:C11"/>
    <mergeCell ref="A6:F6"/>
    <mergeCell ref="H32:K32"/>
    <mergeCell ref="A7:C7"/>
  </mergeCells>
  <pageMargins left="0.3" right="0.3" top="0.3" bottom="0.3" header="0.3" footer="0.3"/>
  <pageSetup orientation="landscape" paperSize="1" fitToWidth="1"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 topLeftCell="A1">
      <selection activeCell="A1" sqref="A1"/>
    </sheetView>
  </sheetViews>
  <sheetFormatPr baseColWidth="8" defaultRowHeight="15.5"/>
  <cols>
    <col width="5.9140625" bestFit="1" customWidth="1" min="1" max="1"/>
    <col width="20.9140625" customWidth="1" style="43" min="2" max="2"/>
    <col width="4.5" customWidth="1" min="3" max="3"/>
    <col width="11.08203125" bestFit="1" customWidth="1" min="4" max="6"/>
    <col width="21.25" bestFit="1" customWidth="1" min="8" max="8"/>
    <col width="10.08203125" bestFit="1" customWidth="1" min="9" max="11"/>
  </cols>
  <sheetData>
    <row r="1">
      <c r="A1" s="48" t="inlineStr">
        <is>
          <t>American Airlines Group Inc</t>
        </is>
      </c>
      <c r="B1" s="49" t="n"/>
    </row>
    <row r="2">
      <c r="A2" s="2" t="inlineStr">
        <is>
          <t>Ticker</t>
        </is>
      </c>
      <c r="B2" s="3" t="inlineStr">
        <is>
          <t>AAL</t>
        </is>
      </c>
    </row>
    <row r="3">
      <c r="A3" s="2" t="inlineStr">
        <is>
          <t>CIK#</t>
        </is>
      </c>
      <c r="B3" s="3" t="n">
        <v>6201</v>
      </c>
    </row>
    <row r="4">
      <c r="A4" s="4" t="inlineStr">
        <is>
          <t>SIC</t>
        </is>
      </c>
      <c r="B4" s="5" t="n">
        <v>4512</v>
      </c>
    </row>
    <row r="5"/>
    <row r="6">
      <c r="A6" s="50" t="inlineStr">
        <is>
          <t>Key Income Statement Information (in millions)</t>
        </is>
      </c>
      <c r="B6" s="51" t="n"/>
      <c r="C6" s="51" t="n"/>
      <c r="D6" s="51" t="n"/>
      <c r="E6" s="51" t="n"/>
      <c r="F6" s="52" t="n"/>
      <c r="H6" s="50" t="inlineStr">
        <is>
          <t>Key Statistics</t>
        </is>
      </c>
      <c r="I6" s="51" t="n"/>
      <c r="J6" s="51" t="n"/>
      <c r="K6" s="52" t="n"/>
    </row>
    <row r="7">
      <c r="A7" s="42" t="inlineStr">
        <is>
          <t>for the year ended:</t>
        </is>
      </c>
      <c r="D7" s="53" t="n">
        <v>46022</v>
      </c>
      <c r="E7" s="53">
        <f>DATE(YEAR(D7)-1,12,31)</f>
        <v>45657.0</v>
      </c>
      <c r="F7" s="54">
        <f>DATE(YEAR(E7)-1,12,31)</f>
        <v>45291.0</v>
      </c>
      <c r="H7" s="2" t="n"/>
      <c r="I7" s="55">
        <f>D7</f>
        <v>46022.0</v>
      </c>
      <c r="J7" s="55">
        <f>E7</f>
        <v>45657.0</v>
      </c>
      <c r="K7" s="56">
        <f>F7</f>
        <v>45291.0</v>
      </c>
    </row>
    <row r="8">
      <c r="A8" s="38" t="inlineStr">
        <is>
          <t>Revenue</t>
        </is>
      </c>
      <c r="D8" s="7" t="n"/>
      <c r="E8" s="7" t="n"/>
      <c r="F8" s="8" t="n"/>
      <c r="H8" s="2" t="inlineStr">
        <is>
          <t>Shares Outstanding (mil.)</t>
        </is>
      </c>
      <c r="I8" s="57" t="n"/>
      <c r="J8" s="57" t="n"/>
      <c r="K8" s="58" t="n"/>
    </row>
    <row r="9">
      <c r="A9" s="38" t="inlineStr">
        <is>
          <t>Depreciation &amp; Amortization (Note 1)</t>
        </is>
      </c>
      <c r="D9" s="24" t="n"/>
      <c r="E9" s="24" t="n"/>
      <c r="F9" s="26" t="n"/>
      <c r="H9" s="2" t="inlineStr">
        <is>
          <t>Share Price (Note 6)</t>
        </is>
      </c>
      <c r="I9" s="9" t="n"/>
      <c r="J9" s="9" t="n"/>
      <c r="K9" s="10" t="n"/>
    </row>
    <row r="10">
      <c r="A10" s="38" t="inlineStr">
        <is>
          <t>Fuel Expenses</t>
        </is>
      </c>
      <c r="D10" s="24" t="n"/>
      <c r="E10" s="24" t="n"/>
      <c r="F10" s="26" t="n"/>
      <c r="H10" s="2" t="inlineStr">
        <is>
          <t>Market Cap (mil.)</t>
        </is>
      </c>
      <c r="I10" s="7" t="n"/>
      <c r="J10" s="7" t="n"/>
      <c r="K10" s="8" t="n"/>
    </row>
    <row r="11">
      <c r="A11" s="38" t="inlineStr">
        <is>
          <t>Total Expenses (Yahoo) (Note 2)</t>
        </is>
      </c>
      <c r="D11" s="24" t="n"/>
      <c r="E11" s="24" t="n"/>
      <c r="F11" s="26" t="n"/>
      <c r="H11" s="2" t="inlineStr">
        <is>
          <t>Enterprise Value (mil.)</t>
        </is>
      </c>
      <c r="I11" s="7" t="n"/>
      <c r="J11" s="7" t="n"/>
      <c r="K11" s="8" t="n"/>
    </row>
    <row r="12">
      <c r="A12" s="38" t="inlineStr">
        <is>
          <t>Interest Expense (gross)</t>
        </is>
      </c>
      <c r="D12" s="24" t="n"/>
      <c r="E12" s="24" t="n"/>
      <c r="F12" s="26" t="n"/>
      <c r="H12" s="2" t="inlineStr">
        <is>
          <t>EBIT Margin</t>
        </is>
      </c>
      <c r="I12" s="11" t="n"/>
      <c r="J12" s="11" t="n"/>
      <c r="K12" s="13" t="n"/>
    </row>
    <row r="13">
      <c r="A13" s="38" t="inlineStr">
        <is>
          <t>Income Tax (Benefit) (Note 3)</t>
        </is>
      </c>
      <c r="D13" s="24" t="n"/>
      <c r="E13" s="24" t="n"/>
      <c r="F13" s="26" t="n"/>
      <c r="H13" s="2" t="inlineStr">
        <is>
          <t>Net Profit Margin</t>
        </is>
      </c>
      <c r="I13" s="11" t="n"/>
      <c r="J13" s="11" t="n"/>
      <c r="K13" s="13" t="n"/>
    </row>
    <row r="14">
      <c r="A14" s="38" t="inlineStr">
        <is>
          <t>Net Income (Note 4)</t>
        </is>
      </c>
      <c r="D14" s="24" t="n"/>
      <c r="E14" s="24" t="n"/>
      <c r="F14" s="26" t="n"/>
      <c r="H14" s="2" t="inlineStr">
        <is>
          <t>Current Ratio</t>
        </is>
      </c>
      <c r="I14" s="11" t="n"/>
      <c r="J14" s="11" t="n"/>
      <c r="K14" s="13" t="n"/>
    </row>
    <row r="15">
      <c r="A15" s="40" t="inlineStr">
        <is>
          <t>EBIT</t>
        </is>
      </c>
      <c r="B15" s="59" t="n"/>
      <c r="C15" s="59" t="n"/>
      <c r="D15" s="29" t="n"/>
      <c r="E15" s="29" t="n"/>
      <c r="F15" s="30" t="n"/>
      <c r="H15" s="2" t="inlineStr">
        <is>
          <t>Quick Ratio</t>
        </is>
      </c>
      <c r="I15" s="11" t="n"/>
      <c r="J15" s="11" t="n"/>
      <c r="K15" s="13" t="n"/>
    </row>
    <row r="16">
      <c r="A16" s="39" t="n"/>
      <c r="B16" s="39" t="n"/>
      <c r="C16" s="39" t="n"/>
      <c r="H16" s="2" t="inlineStr">
        <is>
          <t>AR Days</t>
        </is>
      </c>
      <c r="I16" s="12" t="n"/>
      <c r="J16" s="12" t="n"/>
      <c r="K16" s="31" t="n"/>
    </row>
    <row r="17">
      <c r="A17" s="50" t="inlineStr">
        <is>
          <t>Key Balance Sheet Information (in millions)</t>
        </is>
      </c>
      <c r="B17" s="51" t="n"/>
      <c r="C17" s="51" t="n"/>
      <c r="D17" s="51" t="n"/>
      <c r="E17" s="51" t="n"/>
      <c r="F17" s="52" t="n"/>
      <c r="H17" s="2" t="inlineStr">
        <is>
          <t>Debt-to-Equity (Book)</t>
        </is>
      </c>
      <c r="I17" s="11" t="n"/>
      <c r="J17" s="11" t="n"/>
      <c r="K17" s="13" t="n"/>
    </row>
    <row r="18">
      <c r="A18" s="42" t="inlineStr">
        <is>
          <t>as of:</t>
        </is>
      </c>
      <c r="D18" s="53">
        <f>D7</f>
        <v>46022.0</v>
      </c>
      <c r="E18" s="53">
        <f>E7</f>
        <v>45657.0</v>
      </c>
      <c r="F18" s="54">
        <f>F7</f>
        <v>45291.0</v>
      </c>
      <c r="H18" s="2" t="inlineStr">
        <is>
          <t>Debt-to-Equity (Mkt)</t>
        </is>
      </c>
      <c r="I18" s="11" t="n"/>
      <c r="J18" s="11" t="n"/>
      <c r="K18" s="13" t="n"/>
    </row>
    <row r="19">
      <c r="A19" s="38" t="inlineStr">
        <is>
          <t>Cash and Cash Equivalents</t>
        </is>
      </c>
      <c r="D19" s="24" t="n"/>
      <c r="E19" s="7" t="n"/>
      <c r="F19" s="25" t="n"/>
      <c r="H19" s="2" t="inlineStr">
        <is>
          <t>Market-to-Book</t>
        </is>
      </c>
      <c r="I19" s="11" t="n"/>
      <c r="J19" s="11" t="n"/>
      <c r="K19" s="13" t="n"/>
    </row>
    <row r="20">
      <c r="A20" s="38" t="inlineStr">
        <is>
          <t>Short-term investments (Note 5)</t>
        </is>
      </c>
      <c r="D20" s="24" t="n"/>
      <c r="E20" s="24" t="n"/>
      <c r="F20" s="26" t="n"/>
      <c r="H20" s="2" t="inlineStr">
        <is>
          <t>Price Earnings Ratio</t>
        </is>
      </c>
      <c r="I20" s="11" t="n"/>
      <c r="J20" s="11" t="n"/>
      <c r="K20" s="13" t="n"/>
    </row>
    <row r="21">
      <c r="A21" s="38" t="inlineStr">
        <is>
          <t>Accounts receivable, net</t>
        </is>
      </c>
      <c r="D21" s="24" t="n"/>
      <c r="E21" s="24" t="n"/>
      <c r="F21" s="26" t="n"/>
      <c r="H21" s="2" t="inlineStr">
        <is>
          <t>Asset Turnover (Book)</t>
        </is>
      </c>
      <c r="I21" s="11" t="n"/>
      <c r="J21" s="11" t="n"/>
      <c r="K21" s="13" t="n"/>
    </row>
    <row r="22">
      <c r="A22" s="38" t="inlineStr">
        <is>
          <t>Total Current Assets</t>
        </is>
      </c>
      <c r="D22" s="24" t="n"/>
      <c r="E22" s="24" t="n"/>
      <c r="F22" s="26" t="n"/>
      <c r="H22" s="2" t="inlineStr">
        <is>
          <t>Asset Turnover (Mkt)</t>
        </is>
      </c>
      <c r="I22" s="11" t="n"/>
      <c r="J22" s="11" t="n"/>
      <c r="K22" s="13" t="n"/>
    </row>
    <row r="23">
      <c r="A23" s="38" t="inlineStr">
        <is>
          <t>Net PP&amp;E</t>
        </is>
      </c>
      <c r="D23" s="24" t="n"/>
      <c r="E23" s="24" t="n"/>
      <c r="F23" s="26" t="n"/>
      <c r="H23" s="2" t="inlineStr">
        <is>
          <t>Return on Equity (Book)</t>
        </is>
      </c>
      <c r="I23" s="11" t="n"/>
      <c r="J23" s="11" t="n"/>
      <c r="K23" s="13" t="n"/>
    </row>
    <row r="24">
      <c r="A24" s="38" t="inlineStr">
        <is>
          <t>Total Assets</t>
        </is>
      </c>
      <c r="D24" s="24" t="n"/>
      <c r="E24" s="24" t="n"/>
      <c r="F24" s="26" t="n"/>
      <c r="H24" s="2" t="inlineStr">
        <is>
          <t>Return on Equity (Mkt)</t>
        </is>
      </c>
      <c r="I24" s="11" t="n"/>
      <c r="J24" s="11" t="n"/>
      <c r="K24" s="13" t="n"/>
    </row>
    <row r="25">
      <c r="A25" s="38" t="inlineStr">
        <is>
          <t>Total Current Liabilities</t>
        </is>
      </c>
      <c r="D25" s="24" t="n"/>
      <c r="E25" s="24" t="n"/>
      <c r="F25" s="26" t="n"/>
      <c r="H25" s="2" t="inlineStr">
        <is>
          <t>Return on Assets (Book)</t>
        </is>
      </c>
      <c r="I25" s="11" t="n"/>
      <c r="J25" s="11" t="n"/>
      <c r="K25" s="13" t="n"/>
    </row>
    <row r="26">
      <c r="A26" s="38" t="inlineStr">
        <is>
          <t>Total Liabilities</t>
        </is>
      </c>
      <c r="D26" s="24" t="n"/>
      <c r="E26" s="24" t="n"/>
      <c r="F26" s="26" t="n"/>
      <c r="H26" s="2" t="inlineStr">
        <is>
          <t>Return on Assets (Mkt)</t>
        </is>
      </c>
      <c r="I26" s="11" t="n"/>
      <c r="J26" s="11" t="n"/>
      <c r="K26" s="13" t="n"/>
    </row>
    <row r="27">
      <c r="A27" s="38" t="inlineStr">
        <is>
          <t>Total Debt</t>
        </is>
      </c>
      <c r="B27" s="39" t="n"/>
      <c r="C27" s="39" t="n"/>
      <c r="D27" s="24" t="n"/>
      <c r="E27" s="24" t="n"/>
      <c r="F27" s="26" t="n"/>
      <c r="H27" s="2" t="inlineStr">
        <is>
          <t>NOPAT</t>
        </is>
      </c>
      <c r="I27" s="7" t="n"/>
      <c r="J27" s="7" t="n"/>
      <c r="K27" s="14" t="n"/>
    </row>
    <row r="28">
      <c r="A28" s="40" t="inlineStr">
        <is>
          <t>Total Stockholders' Equity</t>
        </is>
      </c>
      <c r="B28" s="59" t="n"/>
      <c r="C28" s="59" t="n"/>
      <c r="D28" s="27" t="n"/>
      <c r="E28" s="27" t="n"/>
      <c r="F28" s="28" t="n"/>
      <c r="H28" s="2" t="inlineStr">
        <is>
          <t>Increase in NFA</t>
        </is>
      </c>
      <c r="I28" s="7" t="n"/>
      <c r="J28" s="7" t="n"/>
      <c r="K28" s="14" t="n"/>
    </row>
    <row r="29">
      <c r="A29" s="39" t="n"/>
      <c r="H29" s="2" t="inlineStr">
        <is>
          <t>Increase in NWC</t>
        </is>
      </c>
      <c r="I29" s="7" t="n"/>
      <c r="J29" s="7" t="n"/>
      <c r="K29" s="14" t="n"/>
    </row>
    <row r="30">
      <c r="A30" t="inlineStr">
        <is>
          <t>Note 1. Yahoo "Reconciled Depreciation."</t>
        </is>
      </c>
      <c r="H30" s="4" t="inlineStr">
        <is>
          <t>Free Cash Flow</t>
        </is>
      </c>
      <c r="I30" s="29" t="n"/>
      <c r="J30" s="29" t="n"/>
      <c r="K30" s="15" t="n"/>
    </row>
    <row r="31">
      <c r="A31" t="inlineStr">
        <is>
          <t>Note 2. Yahoo "Total Expenses," not "Operating Expense."</t>
        </is>
      </c>
    </row>
    <row r="32">
      <c r="A32" t="inlineStr">
        <is>
          <t>Note 3. Yahoo "Tax Provision"; retain tax benefits.</t>
        </is>
      </c>
      <c r="H32" s="50" t="inlineStr">
        <is>
          <t>DuPont Analysis</t>
        </is>
      </c>
      <c r="I32" s="51" t="n"/>
      <c r="J32" s="51" t="n"/>
      <c r="K32" s="52" t="n"/>
    </row>
    <row r="33">
      <c r="A33" t="inlineStr">
        <is>
          <t>Note 4. Yahoo "Net Income," not adjusted income.</t>
        </is>
      </c>
      <c r="H33" s="32" t="n"/>
      <c r="I33" s="55">
        <f>D7</f>
        <v>46022.0</v>
      </c>
      <c r="J33" s="55">
        <f>E7</f>
        <v>45657.0</v>
      </c>
      <c r="K33" s="56">
        <f>F7</f>
        <v>45291.0</v>
      </c>
    </row>
    <row r="34">
      <c r="A34" t="inlineStr">
        <is>
          <t>Note 5. Yahoo "Other Short Term Investments."</t>
        </is>
      </c>
      <c r="H34" s="2" t="inlineStr">
        <is>
          <t>Net Profit Margin</t>
        </is>
      </c>
      <c r="I34" s="11" t="n"/>
      <c r="J34" s="11" t="n"/>
      <c r="K34" s="13" t="n"/>
    </row>
    <row r="35">
      <c r="A35" t="inlineStr">
        <is>
          <t>Note 6. Year-end Adjusted Close; see Notes tab.</t>
        </is>
      </c>
      <c r="H35" s="2" t="inlineStr">
        <is>
          <t>Asset Turnover (Book)</t>
        </is>
      </c>
      <c r="I35" s="11" t="n"/>
      <c r="J35" s="11" t="n"/>
      <c r="K35" s="13" t="n"/>
    </row>
    <row r="36">
      <c r="H36" s="2" t="inlineStr">
        <is>
          <t>Equity Multiplier (Book)</t>
        </is>
      </c>
      <c r="I36" s="11" t="n"/>
      <c r="J36" s="11" t="n"/>
      <c r="K36" s="13" t="n"/>
    </row>
    <row r="37">
      <c r="H37" s="2" t="inlineStr">
        <is>
          <t>DuPont ROE (Book)</t>
        </is>
      </c>
      <c r="I37" s="11" t="n"/>
      <c r="J37" s="11" t="n"/>
      <c r="K37" s="13" t="n"/>
    </row>
    <row r="38">
      <c r="H38" s="2" t="n"/>
      <c r="K38" s="23" t="n"/>
    </row>
    <row r="39">
      <c r="H39" s="2" t="inlineStr">
        <is>
          <t>Net Profit Margin</t>
        </is>
      </c>
      <c r="I39" s="11" t="n"/>
      <c r="J39" s="11" t="n"/>
      <c r="K39" s="13" t="n"/>
    </row>
    <row r="40">
      <c r="H40" s="2" t="inlineStr">
        <is>
          <t>Asset Turnover (Mkt)</t>
        </is>
      </c>
      <c r="I40" s="11" t="n"/>
      <c r="J40" s="11" t="n"/>
      <c r="K40" s="13" t="n"/>
    </row>
    <row r="41">
      <c r="H41" s="2" t="inlineStr">
        <is>
          <t>Equity Multiplier (Mkt)</t>
        </is>
      </c>
      <c r="I41" s="11" t="n"/>
      <c r="J41" s="11" t="n"/>
      <c r="K41" s="13" t="n"/>
    </row>
    <row r="42">
      <c r="H42" s="4" t="inlineStr">
        <is>
          <t>DuPont ROE (Mkt)</t>
        </is>
      </c>
      <c r="I42" s="33" t="n"/>
      <c r="J42" s="33" t="n"/>
      <c r="K42" s="34" t="n"/>
    </row>
  </sheetData>
  <mergeCells count="24">
    <mergeCell ref="A25:C25"/>
    <mergeCell ref="A18:C18"/>
    <mergeCell ref="A21:C21"/>
    <mergeCell ref="A1:B1"/>
    <mergeCell ref="A12:C12"/>
    <mergeCell ref="A26:C26"/>
    <mergeCell ref="A23:C23"/>
    <mergeCell ref="A8:C8"/>
    <mergeCell ref="A14:C14"/>
    <mergeCell ref="A22:C22"/>
    <mergeCell ref="A17:F17"/>
    <mergeCell ref="A20:C20"/>
    <mergeCell ref="A10:C10"/>
    <mergeCell ref="A28:C28"/>
    <mergeCell ref="A13:C13"/>
    <mergeCell ref="A19:C19"/>
    <mergeCell ref="A9:C9"/>
    <mergeCell ref="H6:K6"/>
    <mergeCell ref="A15:C15"/>
    <mergeCell ref="A24:C24"/>
    <mergeCell ref="A11:C11"/>
    <mergeCell ref="A6:F6"/>
    <mergeCell ref="H32:K32"/>
    <mergeCell ref="A7:C7"/>
  </mergeCells>
  <pageMargins left="0.3" right="0.3" top="0.3" bottom="0.3" header="0.3" footer="0.3"/>
  <pageSetup orientation="landscape" paperSize="1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7" customHeight="1">
      <c r="A1" s="60" t="inlineStr">
        <is>
          <t>Assignment 2 — Fall 2026</t>
        </is>
      </c>
      <c r="B1" s="61" t="inlineStr">
        <is>
          <t>Complete all three airline tabs. Use these conventions.</t>
        </is>
      </c>
    </row>
    <row r="2" ht="35.0" customHeight="1">
      <c r="A2" s="62" t="inlineStr">
        <is>
          <t>Years and units</t>
        </is>
      </c>
      <c r="B2" s="63" t="inlineStr">
        <is>
          <t>2025, 2024, 2023 (left to right). Statement amounts and shares: millions; price: dollars/share. Divide Yahoo statement values shown in thousands by 1,000.</t>
        </is>
      </c>
    </row>
    <row r="3" ht="35.0" customHeight="1">
      <c r="A3" s="62" t="inlineStr">
        <is>
          <t>Sources</t>
        </is>
      </c>
      <c r="B3" s="63" t="inlineStr">
        <is>
          <t>Use annual Yahoo statements and consolidated annual-report fuel expense. Record sources and retrieval dates.</t>
        </is>
      </c>
    </row>
    <row r="4" ht="35.0" customHeight="1">
      <c r="A4" s="62" t="inlineStr">
        <is>
          <t>Income-statement fields</t>
        </is>
      </c>
      <c r="B4" s="63" t="inlineStr">
        <is>
          <t>Use Total Expenses and Reconciled Depreciation. Use Tax Provision and Net Income; retain tax benefits.</t>
        </is>
      </c>
    </row>
    <row r="5" ht="27" customHeight="1">
      <c r="A5" s="62" t="inlineStr">
        <is>
          <t>Interest and EBIT</t>
        </is>
      </c>
      <c r="B5" s="63" t="inlineStr">
        <is>
          <t>Use gross Interest Expense. Calculate EBIT = Net Income + Tax Provision + Interest Expense.</t>
        </is>
      </c>
    </row>
    <row r="6" ht="48.5" customHeight="1">
      <c r="A6" s="62" t="inlineStr">
        <is>
          <t>Cash and current assets</t>
        </is>
      </c>
      <c r="B6" s="63" t="inlineStr">
        <is>
          <t>Cash = Cash And Cash Equivalents; investments = Other Short Term Investments; receivables = Accounts Receivable, net. If investments are missing, reconcile combined cash/investments less cash.</t>
        </is>
      </c>
    </row>
    <row r="7" ht="35.0" customHeight="1">
      <c r="A7" s="62" t="inlineStr">
        <is>
          <t>Balance-sheet fields</t>
        </is>
      </c>
      <c r="B7" s="63" t="inlineStr">
        <is>
          <t>Use Net PPE, Total Liabilities Net Minority Interest, and Total Equity Gross Minority Interest. Retain negative equity; interpret related ratios cautiously.</t>
        </is>
      </c>
    </row>
    <row r="8" ht="35.0" customHeight="1">
      <c r="A8" s="62" t="inlineStr">
        <is>
          <t>Debt and EV</t>
        </is>
      </c>
      <c r="B8" s="63" t="inlineStr">
        <is>
          <t>Debt/equity uses total liabilities. EV = market cap + Total Debt (including leases) − cash and cash equivalents.</t>
        </is>
      </c>
    </row>
    <row r="9" ht="35.0" customHeight="1">
      <c r="A9" s="62" t="inlineStr">
        <is>
          <t>Shares and prices</t>
        </is>
      </c>
      <c r="B9" s="63" t="inlineStr">
        <is>
          <t>Use annual Ordinary Shares Number in millions (five decimals). Price = December monthly Adj. Close (two decimals); the December 1 monthly label represents month-end.</t>
        </is>
      </c>
    </row>
    <row r="10" ht="35.0" customHeight="1">
      <c r="A10" s="62" t="inlineStr">
        <is>
          <t>Price snapshot</t>
        </is>
      </c>
      <c r="B10" s="63" t="inlineStr">
        <is>
          <t>Last trading dates: Dec. 31, 2025; Dec. 31, 2024; Dec. 29, 2023. Reference snapshot: Oct. 7–8, 2026; adjusted prices can change.</t>
        </is>
      </c>
    </row>
    <row r="11" ht="35.0" customHeight="1">
      <c r="A11" s="62" t="inlineStr">
        <is>
          <t>Market measures</t>
        </is>
      </c>
      <c r="B11" s="63" t="inlineStr">
        <is>
          <t>Market cap = shares × price. Market asset turnover and ROA use EV. These adjusted-price measures are assignment proxies.</t>
        </is>
      </c>
    </row>
    <row r="12" ht="35.0" customHeight="1">
      <c r="A12" s="62" t="inlineStr">
        <is>
          <t>Ratio conventions</t>
        </is>
      </c>
      <c r="B12" s="63" t="inlineStr">
        <is>
          <t>Use year-end balances and 365 days. ROA = (Net Income + gross Interest Expense) / assets (book or EV). P/E = market cap / Net Income.</t>
        </is>
      </c>
    </row>
    <row r="13" ht="35.0" customHeight="1">
      <c r="A13" s="62" t="inlineStr">
        <is>
          <t>NOPAT and FCF</t>
        </is>
      </c>
      <c r="B13" s="63" t="inlineStr">
        <is>
          <t>NOPAT = EBIT × 79%. FCF = NOPAT − change in Net PP&amp;E − change in (Current Assets − Current Liabilities). Use 21% tax, not the Delta lecture’s effective rate; this is simplified FCF.</t>
        </is>
      </c>
    </row>
    <row r="14" ht="35.0" customHeight="1">
      <c r="A14" s="62" t="inlineStr">
        <is>
          <t>Black cells</t>
        </is>
      </c>
      <c r="B14" s="63" t="inlineStr">
        <is>
          <t>Leave black 2023 NOPAT/change/FCF cells blank. Complete other 2023 statistics and both DuPont analyses; no 2022 inputs needed.</t>
        </is>
      </c>
    </row>
    <row r="15" ht="35.0" customHeight="1">
      <c r="A15" s="62" t="inlineStr">
        <is>
          <t>Formula requirements</t>
        </is>
      </c>
      <c r="B15" s="63" t="inlineStr">
        <is>
          <t>Enter all inputs. Use formulas for EBIT, statistics below shares/price, and DuPont. Preserve layout and number formats.</t>
        </is>
      </c>
    </row>
    <row r="16" ht="35.0" customHeight="1">
      <c r="A16" s="62" t="inlineStr">
        <is>
          <t>DuPont</t>
        </is>
      </c>
      <c r="B16" s="63" t="inlineStr">
        <is>
          <t>Book: NI/revenue × revenue/assets × assets/equity. Market: NI/revenue × revenue/EV × EV/market cap. Each product must equal its direct ROE.</t>
        </is>
      </c>
    </row>
    <row r="18">
      <c r="A18" s="64" t="inlineStr">
        <is>
          <t>UAL financials</t>
        </is>
      </c>
      <c r="B18" s="64" t="inlineStr">
        <is>
          <t>https://finance.yahoo.com/quote/UAL/financials/</t>
        </is>
      </c>
    </row>
    <row r="19">
      <c r="A19" s="64" t="inlineStr">
        <is>
          <t>UAL balance-sheet</t>
        </is>
      </c>
      <c r="B19" s="64" t="inlineStr">
        <is>
          <t>https://finance.yahoo.com/quote/UAL/balance-sheet/</t>
        </is>
      </c>
    </row>
    <row r="20">
      <c r="A20" s="64" t="inlineStr">
        <is>
          <t>UAL history</t>
        </is>
      </c>
      <c r="B20" s="64" t="inlineStr">
        <is>
          <t>https://finance.yahoo.com/quote/UAL/history/</t>
        </is>
      </c>
    </row>
    <row r="21">
      <c r="A21" s="64" t="inlineStr">
        <is>
          <t>DAL financials</t>
        </is>
      </c>
      <c r="B21" s="64" t="inlineStr">
        <is>
          <t>https://finance.yahoo.com/quote/DAL/financials/</t>
        </is>
      </c>
    </row>
    <row r="22">
      <c r="A22" s="64" t="inlineStr">
        <is>
          <t>DAL balance-sheet</t>
        </is>
      </c>
      <c r="B22" s="64" t="inlineStr">
        <is>
          <t>https://finance.yahoo.com/quote/DAL/balance-sheet/</t>
        </is>
      </c>
    </row>
    <row r="23">
      <c r="A23" s="64" t="inlineStr">
        <is>
          <t>DAL history</t>
        </is>
      </c>
      <c r="B23" s="64" t="inlineStr">
        <is>
          <t>https://finance.yahoo.com/quote/DAL/history/</t>
        </is>
      </c>
    </row>
    <row r="24">
      <c r="A24" s="64" t="inlineStr">
        <is>
          <t>AAL financials</t>
        </is>
      </c>
      <c r="B24" s="64" t="inlineStr">
        <is>
          <t>https://finance.yahoo.com/quote/AAL/financials/</t>
        </is>
      </c>
    </row>
    <row r="25">
      <c r="A25" s="64" t="inlineStr">
        <is>
          <t>AAL balance-sheet</t>
        </is>
      </c>
      <c r="B25" s="64" t="inlineStr">
        <is>
          <t>https://finance.yahoo.com/quote/AAL/balance-sheet/</t>
        </is>
      </c>
    </row>
    <row r="26">
      <c r="A26" s="64" t="inlineStr">
        <is>
          <t>AAL history</t>
        </is>
      </c>
      <c r="B26" s="64" t="inlineStr">
        <is>
          <t>https://finance.yahoo.com/quote/AAL/history/</t>
        </is>
      </c>
    </row>
  </sheetData>
  <hyperlinks>
    <hyperlink ref="B18" r:id="rId1"/>
    <hyperlink ref="B19" r:id="rId2"/>
    <hyperlink ref="B20" r:id="rId3"/>
    <hyperlink ref="B21" r:id="rId4"/>
    <hyperlink ref="B22" r:id="rId5"/>
    <hyperlink ref="B23" r:id="rId6"/>
    <hyperlink ref="B24" r:id="rId7"/>
    <hyperlink ref="B25" r:id="rId8"/>
    <hyperlink ref="B26" r:id="rId9"/>
  </hyperlinks>
  <pageMargins left="0.3" right="0.3" top="0.3" bottom="0.3" header="0.5" footer="0.5"/>
  <pageSetup orientation="portrait" fitToHeight="1" fitToWidth="1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Boone Bowles</dc:creator>
  <dcterms:created xsi:type="dcterms:W3CDTF">2021-05-11T15:09:51Z</dcterms:created>
  <dcterms:modified xsi:type="dcterms:W3CDTF">2026-10-12T22:30:05Z</dcterms:modified>
  <cp:lastModifiedBy>Boone Bowles</cp:lastModifiedBy>
</cp:coreProperties>
</file>